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ou\Desktop\2026\2026-06\SCTASK0914686\"/>
    </mc:Choice>
  </mc:AlternateContent>
  <xr:revisionPtr revIDLastSave="0" documentId="13_ncr:1_{ADF6E68F-CDD1-4626-A442-11AABEC3782B}" xr6:coauthVersionLast="47" xr6:coauthVersionMax="47" xr10:uidLastSave="{00000000-0000-0000-0000-000000000000}"/>
  <bookViews>
    <workbookView xWindow="-120" yWindow="-120" windowWidth="51840" windowHeight="21120" xr2:uid="{9FBB616E-458D-4C21-AB00-F111799D822C}"/>
  </bookViews>
  <sheets>
    <sheet name="FY26 CB reimbursement" sheetId="1" r:id="rId1"/>
  </sheets>
  <definedNames>
    <definedName name="_CB_Cost_and_Reimbursement" localSheetId="0">'FY26 CB reimbursement'!$A$4:$X$4</definedName>
    <definedName name="admin">#REF!</definedName>
    <definedName name="adminlegal">#REF!</definedName>
    <definedName name="athl">#REF!</definedName>
    <definedName name="attend">#REF!</definedName>
    <definedName name="bene">#REF!</definedName>
    <definedName name="carryforward">#REF!</definedName>
    <definedName name="chaaid">#REF!</definedName>
    <definedName name="CharterImport">#REF!</definedName>
    <definedName name="ChoiceSend">#REF!</definedName>
    <definedName name="CityTown">#REF!</definedName>
    <definedName name="code436">#REF!</definedName>
    <definedName name="codes01">#REF!</definedName>
    <definedName name="Data_CS">OFFSET(#REF!,6,0,COUNTA(#REF!))</definedName>
    <definedName name="Data_CS_sec">OFFSET(#REF!,6,0,COUNTA(#REF!))</definedName>
    <definedName name="Data_In_Days">OFFSET(#REF!,6,0,COUNTA(#REF!))</definedName>
    <definedName name="Data_Name">OFFSET(#REF!,6,0,COUNTA(#REF!))</definedName>
    <definedName name="Data_SASID">OFFSET(#REF!,6,0,COUNTA(#REF!))</definedName>
    <definedName name="Data_Total">OFFSET(#REF!,6,0,COUNTA(#REF!))</definedName>
    <definedName name="Data_total_transp">OFFSET(#REF!,6,0,COUNTA(#REF!))</definedName>
    <definedName name="daypctactual">#REF!</definedName>
    <definedName name="daypctbudget22">#REF!</definedName>
    <definedName name="daypctbudget23">#REF!</definedName>
    <definedName name="food">#REF!</definedName>
    <definedName name="FoundBud">#REF!</definedName>
    <definedName name="inst">#REF!</definedName>
    <definedName name="insu">#REF!</definedName>
    <definedName name="lea">#REF!</definedName>
    <definedName name="leaname">#REF!</definedName>
    <definedName name="maint">#REF!</definedName>
    <definedName name="nsscalc">#REF!</definedName>
    <definedName name="nsstrends">#REF!</definedName>
    <definedName name="org4code">#REF!</definedName>
    <definedName name="pynss">#REF!</definedName>
    <definedName name="pysched19">#REF!</definedName>
    <definedName name="rans">#REF!</definedName>
    <definedName name="rent">#REF!</definedName>
    <definedName name="reqdnss">#REF!</definedName>
    <definedName name="reti">#REF!</definedName>
    <definedName name="retiteach">#REF!</definedName>
    <definedName name="SBOs">#REF!</definedName>
    <definedName name="sched19">#REF!</definedName>
    <definedName name="sched19muni">#REF!</definedName>
    <definedName name="screvbudget">#REF!</definedName>
    <definedName name="SupContacts">#REF!</definedName>
    <definedName name="tmpkoc">#REF!</definedName>
    <definedName name="trendslea">#REF!</definedName>
    <definedName name="trendsprobs">#REF!</definedName>
    <definedName name="tuit">#REF!</definedName>
    <definedName name="tuitmuni">#REF!</definedName>
    <definedName name="villages">#REF!</definedName>
    <definedName name="waiver">#REF!</definedName>
    <definedName name="Web_leas">OFFSET(#REF!,9,0,COUNTA(#REF!))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90" i="1" l="1"/>
  <c r="N286" i="1" s="1"/>
  <c r="U90" i="1"/>
  <c r="W286" i="1"/>
  <c r="U286" i="1"/>
  <c r="S286" i="1"/>
  <c r="Q286" i="1"/>
  <c r="O286" i="1"/>
  <c r="M286" i="1"/>
  <c r="L286" i="1"/>
  <c r="K286" i="1"/>
  <c r="I286" i="1"/>
  <c r="H286" i="1"/>
  <c r="G286" i="1"/>
  <c r="F286" i="1"/>
  <c r="E286" i="1"/>
  <c r="D286" i="1"/>
  <c r="C286" i="1"/>
  <c r="J210" i="1"/>
  <c r="J286" i="1" s="1"/>
</calcChain>
</file>

<file path=xl/sharedStrings.xml><?xml version="1.0" encoding="utf-8"?>
<sst xmlns="http://schemas.openxmlformats.org/spreadsheetml/2006/main" count="879" uniqueCount="594">
  <si>
    <t>Updated: 06/08/2026</t>
  </si>
  <si>
    <t>FY25 Circuit Breaker Claim Cost</t>
  </si>
  <si>
    <t>FY26 Reimbursement</t>
  </si>
  <si>
    <t>FY26 Payment Schedule</t>
  </si>
  <si>
    <t>District Name</t>
  </si>
  <si>
    <t>LEA Code</t>
  </si>
  <si>
    <t>Number of Eligible Students</t>
  </si>
  <si>
    <t xml:space="preserve">Total Eligible Cost </t>
  </si>
  <si>
    <t>Threshold Applied</t>
  </si>
  <si>
    <t>Net Instructional &amp; Tuition Cost</t>
  </si>
  <si>
    <t>Net Transportation Cost</t>
  </si>
  <si>
    <t>Net Total Cost</t>
  </si>
  <si>
    <t>Special Indicator Instructional &amp; Tuition @ 100%</t>
  </si>
  <si>
    <t>Instructional &amp; Tuition @ 75%</t>
  </si>
  <si>
    <t>Special Indicator Transportation @ 100%</t>
  </si>
  <si>
    <t>Transportation @ 67.889468%</t>
  </si>
  <si>
    <t>Prior Year Adjustments</t>
  </si>
  <si>
    <t>Total Reimbursement</t>
  </si>
  <si>
    <t>Q1 Payment Amount</t>
  </si>
  <si>
    <t>Q1 Payment Date</t>
  </si>
  <si>
    <t>Q2 Payment Amount</t>
  </si>
  <si>
    <t>Q2 Payment Date</t>
  </si>
  <si>
    <t>Q3 Payment Amount</t>
  </si>
  <si>
    <t>Q3 Payment Date</t>
  </si>
  <si>
    <t>Q4 Payment Amount</t>
  </si>
  <si>
    <t>Q4 Payment Date</t>
  </si>
  <si>
    <t>FY26 Relief Payment Amount</t>
  </si>
  <si>
    <t>Relief Payment Date</t>
  </si>
  <si>
    <t>Abington</t>
  </si>
  <si>
    <t>0001</t>
  </si>
  <si>
    <t>n/a</t>
  </si>
  <si>
    <t>Acushnet</t>
  </si>
  <si>
    <t>0003</t>
  </si>
  <si>
    <t>Agawam</t>
  </si>
  <si>
    <t>0005</t>
  </si>
  <si>
    <t>Amesbury</t>
  </si>
  <si>
    <t>0007</t>
  </si>
  <si>
    <t>Amherst</t>
  </si>
  <si>
    <t>0008</t>
  </si>
  <si>
    <t>Andover</t>
  </si>
  <si>
    <t>0009</t>
  </si>
  <si>
    <t>Arlington</t>
  </si>
  <si>
    <t>0010</t>
  </si>
  <si>
    <t>Ashland</t>
  </si>
  <si>
    <t>0014</t>
  </si>
  <si>
    <t>Attleboro</t>
  </si>
  <si>
    <t>0016</t>
  </si>
  <si>
    <t>Auburn</t>
  </si>
  <si>
    <t>0017</t>
  </si>
  <si>
    <t>Avon</t>
  </si>
  <si>
    <t>0018</t>
  </si>
  <si>
    <t>Barnstable</t>
  </si>
  <si>
    <t>0020</t>
  </si>
  <si>
    <t>Bedford</t>
  </si>
  <si>
    <t>0023</t>
  </si>
  <si>
    <t>Belchertown</t>
  </si>
  <si>
    <t>0024</t>
  </si>
  <si>
    <t>Bellingham</t>
  </si>
  <si>
    <t>0025</t>
  </si>
  <si>
    <t>Belmont</t>
  </si>
  <si>
    <t>0026</t>
  </si>
  <si>
    <t>Berkley</t>
  </si>
  <si>
    <t>0027</t>
  </si>
  <si>
    <t>Beverly</t>
  </si>
  <si>
    <t>0030</t>
  </si>
  <si>
    <t>Billerica</t>
  </si>
  <si>
    <t>0031</t>
  </si>
  <si>
    <t>Boston</t>
  </si>
  <si>
    <t>0035</t>
  </si>
  <si>
    <t>Bourne</t>
  </si>
  <si>
    <t>0036</t>
  </si>
  <si>
    <t>Boxford</t>
  </si>
  <si>
    <t>0038</t>
  </si>
  <si>
    <t>Braintree</t>
  </si>
  <si>
    <t>0040</t>
  </si>
  <si>
    <t>Brewster</t>
  </si>
  <si>
    <t>0041</t>
  </si>
  <si>
    <t>04/27/2026</t>
  </si>
  <si>
    <t>Brimfield</t>
  </si>
  <si>
    <t>0043</t>
  </si>
  <si>
    <t>Brockton</t>
  </si>
  <si>
    <t>0044</t>
  </si>
  <si>
    <t>Brookfield</t>
  </si>
  <si>
    <t>0045</t>
  </si>
  <si>
    <t>Brookline</t>
  </si>
  <si>
    <t>0046</t>
  </si>
  <si>
    <t>Burlington</t>
  </si>
  <si>
    <t>0048</t>
  </si>
  <si>
    <t>Cambridge</t>
  </si>
  <si>
    <t>0049</t>
  </si>
  <si>
    <t>Canton</t>
  </si>
  <si>
    <t>0050</t>
  </si>
  <si>
    <t>Carlisle</t>
  </si>
  <si>
    <t>0051</t>
  </si>
  <si>
    <t>Carver</t>
  </si>
  <si>
    <t>0052</t>
  </si>
  <si>
    <t>Chelmsford</t>
  </si>
  <si>
    <t>0056</t>
  </si>
  <si>
    <t>Chelsea</t>
  </si>
  <si>
    <t>0057</t>
  </si>
  <si>
    <t>Chicopee</t>
  </si>
  <si>
    <t>0061</t>
  </si>
  <si>
    <t>Clarksburg</t>
  </si>
  <si>
    <t>0063</t>
  </si>
  <si>
    <t>Clinton</t>
  </si>
  <si>
    <t>0064</t>
  </si>
  <si>
    <t>Cohasset</t>
  </si>
  <si>
    <t>0065</t>
  </si>
  <si>
    <t>Concord</t>
  </si>
  <si>
    <t>0067</t>
  </si>
  <si>
    <t>Danvers</t>
  </si>
  <si>
    <t>0071</t>
  </si>
  <si>
    <t>Dartmouth</t>
  </si>
  <si>
    <t>0072</t>
  </si>
  <si>
    <t>Dedham</t>
  </si>
  <si>
    <t>0073</t>
  </si>
  <si>
    <t>Douglas</t>
  </si>
  <si>
    <t>0077</t>
  </si>
  <si>
    <t>Dover</t>
  </si>
  <si>
    <t>0078</t>
  </si>
  <si>
    <t>Dracut</t>
  </si>
  <si>
    <t>0079</t>
  </si>
  <si>
    <t>Duxbury</t>
  </si>
  <si>
    <t>0082</t>
  </si>
  <si>
    <t>East Bridgewater</t>
  </si>
  <si>
    <t>0083</t>
  </si>
  <si>
    <t>Eastham</t>
  </si>
  <si>
    <t>0085</t>
  </si>
  <si>
    <t>Easthampton</t>
  </si>
  <si>
    <t>0086</t>
  </si>
  <si>
    <t>East Longmeadow</t>
  </si>
  <si>
    <t>0087</t>
  </si>
  <si>
    <t>Easton</t>
  </si>
  <si>
    <t>0088</t>
  </si>
  <si>
    <t>Edgartown</t>
  </si>
  <si>
    <t>0089</t>
  </si>
  <si>
    <t>Erving</t>
  </si>
  <si>
    <t>0091</t>
  </si>
  <si>
    <t>Everett</t>
  </si>
  <si>
    <t>0093</t>
  </si>
  <si>
    <t>Fairhaven</t>
  </si>
  <si>
    <t>0094</t>
  </si>
  <si>
    <t>Fall River</t>
  </si>
  <si>
    <t>0095</t>
  </si>
  <si>
    <t>Falmouth</t>
  </si>
  <si>
    <t>0096</t>
  </si>
  <si>
    <t>Fitchburg</t>
  </si>
  <si>
    <t>0097</t>
  </si>
  <si>
    <t>Foxborough</t>
  </si>
  <si>
    <t>0099</t>
  </si>
  <si>
    <t>Framingham</t>
  </si>
  <si>
    <t>0100</t>
  </si>
  <si>
    <t>Franklin</t>
  </si>
  <si>
    <t>0101</t>
  </si>
  <si>
    <t>Gardner</t>
  </si>
  <si>
    <t>0103</t>
  </si>
  <si>
    <t>Georgetown</t>
  </si>
  <si>
    <t>0105</t>
  </si>
  <si>
    <t>Gloucester</t>
  </si>
  <si>
    <t>0107</t>
  </si>
  <si>
    <t>Grafton</t>
  </si>
  <si>
    <t>0110</t>
  </si>
  <si>
    <t>Granby</t>
  </si>
  <si>
    <t>0111</t>
  </si>
  <si>
    <t>Greenfield</t>
  </si>
  <si>
    <t>0114</t>
  </si>
  <si>
    <t>Hadley</t>
  </si>
  <si>
    <t>0117</t>
  </si>
  <si>
    <t>Halifax</t>
  </si>
  <si>
    <t>0118</t>
  </si>
  <si>
    <t>Hancock</t>
  </si>
  <si>
    <t>0121</t>
  </si>
  <si>
    <t>Hanover</t>
  </si>
  <si>
    <t>0122</t>
  </si>
  <si>
    <t>Harvard</t>
  </si>
  <si>
    <t>0125</t>
  </si>
  <si>
    <t>Hatfield</t>
  </si>
  <si>
    <t>0127</t>
  </si>
  <si>
    <t>Haverhill</t>
  </si>
  <si>
    <t>0128</t>
  </si>
  <si>
    <t>Hingham</t>
  </si>
  <si>
    <t>0131</t>
  </si>
  <si>
    <t>Holbrook</t>
  </si>
  <si>
    <t>0133</t>
  </si>
  <si>
    <t>Holland</t>
  </si>
  <si>
    <t>0135</t>
  </si>
  <si>
    <t>Holliston</t>
  </si>
  <si>
    <t>0136</t>
  </si>
  <si>
    <t>Holyoke</t>
  </si>
  <si>
    <t>0137</t>
  </si>
  <si>
    <t>Hopedale</t>
  </si>
  <si>
    <t>0138</t>
  </si>
  <si>
    <t>Hopkinton</t>
  </si>
  <si>
    <t>0139</t>
  </si>
  <si>
    <t>Hudson</t>
  </si>
  <si>
    <t>0141</t>
  </si>
  <si>
    <t>Hull</t>
  </si>
  <si>
    <t>0142</t>
  </si>
  <si>
    <t>Ipswich</t>
  </si>
  <si>
    <t>0144</t>
  </si>
  <si>
    <t>Kingston</t>
  </si>
  <si>
    <t>0145</t>
  </si>
  <si>
    <t>Lawrence</t>
  </si>
  <si>
    <t>0149</t>
  </si>
  <si>
    <t>Lee</t>
  </si>
  <si>
    <t>0150</t>
  </si>
  <si>
    <t>Leicester</t>
  </si>
  <si>
    <t>0151</t>
  </si>
  <si>
    <t>Lenox</t>
  </si>
  <si>
    <t>0152</t>
  </si>
  <si>
    <t>Leominster</t>
  </si>
  <si>
    <t>0153</t>
  </si>
  <si>
    <t>Lexington</t>
  </si>
  <si>
    <t>0155</t>
  </si>
  <si>
    <t>Lincoln</t>
  </si>
  <si>
    <t>0157</t>
  </si>
  <si>
    <t>Littleton</t>
  </si>
  <si>
    <t>0158</t>
  </si>
  <si>
    <t>Longmeadow</t>
  </si>
  <si>
    <t>0159</t>
  </si>
  <si>
    <t>Lowell</t>
  </si>
  <si>
    <t>0160</t>
  </si>
  <si>
    <t>Ludlow</t>
  </si>
  <si>
    <t>0161</t>
  </si>
  <si>
    <t>Lunenburg</t>
  </si>
  <si>
    <t>0162</t>
  </si>
  <si>
    <t>Lynn</t>
  </si>
  <si>
    <t>0163</t>
  </si>
  <si>
    <t>Lynnfield</t>
  </si>
  <si>
    <t>0164</t>
  </si>
  <si>
    <t>Malden</t>
  </si>
  <si>
    <t>0165</t>
  </si>
  <si>
    <t>Mansfield</t>
  </si>
  <si>
    <t>0167</t>
  </si>
  <si>
    <t>Marblehead</t>
  </si>
  <si>
    <t>0168</t>
  </si>
  <si>
    <t>Marion</t>
  </si>
  <si>
    <t>0169</t>
  </si>
  <si>
    <t>Marlborough</t>
  </si>
  <si>
    <t>0170</t>
  </si>
  <si>
    <t>Marshfield</t>
  </si>
  <si>
    <t>0171</t>
  </si>
  <si>
    <t>Mashpee</t>
  </si>
  <si>
    <t>0172</t>
  </si>
  <si>
    <t>Mattapoisett</t>
  </si>
  <si>
    <t>0173</t>
  </si>
  <si>
    <t>Maynard</t>
  </si>
  <si>
    <t>0174</t>
  </si>
  <si>
    <t>Medfield</t>
  </si>
  <si>
    <t>0175</t>
  </si>
  <si>
    <t>Medford</t>
  </si>
  <si>
    <t>0176</t>
  </si>
  <si>
    <t>Medway</t>
  </si>
  <si>
    <t>0177</t>
  </si>
  <si>
    <t>Melrose</t>
  </si>
  <si>
    <t>0178</t>
  </si>
  <si>
    <t>Methuen</t>
  </si>
  <si>
    <t>0181</t>
  </si>
  <si>
    <t>Middleborough</t>
  </si>
  <si>
    <t>0182</t>
  </si>
  <si>
    <t>Middleton</t>
  </si>
  <si>
    <t>0184</t>
  </si>
  <si>
    <t>Milford</t>
  </si>
  <si>
    <t>0185</t>
  </si>
  <si>
    <t>Millbury</t>
  </si>
  <si>
    <t>0186</t>
  </si>
  <si>
    <t>Millis</t>
  </si>
  <si>
    <t>0187</t>
  </si>
  <si>
    <t>Milton</t>
  </si>
  <si>
    <t>0189</t>
  </si>
  <si>
    <t>Monson</t>
  </si>
  <si>
    <t>0191</t>
  </si>
  <si>
    <t>Nahant</t>
  </si>
  <si>
    <t>0196</t>
  </si>
  <si>
    <t>Nantucket</t>
  </si>
  <si>
    <t>0197</t>
  </si>
  <si>
    <t>Natick</t>
  </si>
  <si>
    <t>0198</t>
  </si>
  <si>
    <t>Needham</t>
  </si>
  <si>
    <t>0199</t>
  </si>
  <si>
    <t>New Bedford</t>
  </si>
  <si>
    <t>0201</t>
  </si>
  <si>
    <t>Newburyport</t>
  </si>
  <si>
    <t>0204</t>
  </si>
  <si>
    <t>Newton</t>
  </si>
  <si>
    <t>0207</t>
  </si>
  <si>
    <t>Norfolk</t>
  </si>
  <si>
    <t>0208</t>
  </si>
  <si>
    <t>North Adams</t>
  </si>
  <si>
    <t>0209</t>
  </si>
  <si>
    <t>Northampton</t>
  </si>
  <si>
    <t>0210</t>
  </si>
  <si>
    <t>North Andover</t>
  </si>
  <si>
    <t>0211</t>
  </si>
  <si>
    <t>North Attleborough</t>
  </si>
  <si>
    <t>0212</t>
  </si>
  <si>
    <t>Northborough</t>
  </si>
  <si>
    <t>0213</t>
  </si>
  <si>
    <t>Northbridge</t>
  </si>
  <si>
    <t>0214</t>
  </si>
  <si>
    <t>North Brookfield</t>
  </si>
  <si>
    <t>0215</t>
  </si>
  <si>
    <t>North Reading</t>
  </si>
  <si>
    <t>0217</t>
  </si>
  <si>
    <t>Norton</t>
  </si>
  <si>
    <t>0218</t>
  </si>
  <si>
    <t>Norwell</t>
  </si>
  <si>
    <t>0219</t>
  </si>
  <si>
    <t>Norwood</t>
  </si>
  <si>
    <t>0220</t>
  </si>
  <si>
    <t>Oak Bluffs</t>
  </si>
  <si>
    <t>0221</t>
  </si>
  <si>
    <t>Orange</t>
  </si>
  <si>
    <t>0223</t>
  </si>
  <si>
    <t>Orleans</t>
  </si>
  <si>
    <t>0224</t>
  </si>
  <si>
    <t>Oxford</t>
  </si>
  <si>
    <t>0226</t>
  </si>
  <si>
    <t>Palmer</t>
  </si>
  <si>
    <t>0227</t>
  </si>
  <si>
    <t>Peabody</t>
  </si>
  <si>
    <t>0229</t>
  </si>
  <si>
    <t>Pelham</t>
  </si>
  <si>
    <t>0230</t>
  </si>
  <si>
    <t>Pembroke</t>
  </si>
  <si>
    <t>0231</t>
  </si>
  <si>
    <t>Petersham</t>
  </si>
  <si>
    <t>0234</t>
  </si>
  <si>
    <t>Pittsfield</t>
  </si>
  <si>
    <t>0236</t>
  </si>
  <si>
    <t>Plainville</t>
  </si>
  <si>
    <t>0238</t>
  </si>
  <si>
    <t>Plymouth</t>
  </si>
  <si>
    <t>0239</t>
  </si>
  <si>
    <t>Plympton</t>
  </si>
  <si>
    <t>0240</t>
  </si>
  <si>
    <t>Quincy</t>
  </si>
  <si>
    <t>0243</t>
  </si>
  <si>
    <t>Randolph</t>
  </si>
  <si>
    <t>0244</t>
  </si>
  <si>
    <t>Reading</t>
  </si>
  <si>
    <t>0246</t>
  </si>
  <si>
    <t>Revere</t>
  </si>
  <si>
    <t>0248</t>
  </si>
  <si>
    <t>Richmond</t>
  </si>
  <si>
    <t>0249</t>
  </si>
  <si>
    <t>Rochester</t>
  </si>
  <si>
    <t>0250</t>
  </si>
  <si>
    <t>Rockland</t>
  </si>
  <si>
    <t>0251</t>
  </si>
  <si>
    <t>Rockport</t>
  </si>
  <si>
    <t>0252</t>
  </si>
  <si>
    <t>Salem</t>
  </si>
  <si>
    <t>0258</t>
  </si>
  <si>
    <t>Sandwich</t>
  </si>
  <si>
    <t>0261</t>
  </si>
  <si>
    <t>Saugus</t>
  </si>
  <si>
    <t>0262</t>
  </si>
  <si>
    <t>Scituate</t>
  </si>
  <si>
    <t>0264</t>
  </si>
  <si>
    <t>Seekonk</t>
  </si>
  <si>
    <t>0265</t>
  </si>
  <si>
    <t>Sharon</t>
  </si>
  <si>
    <t>0266</t>
  </si>
  <si>
    <t>Sherborn</t>
  </si>
  <si>
    <t>0269</t>
  </si>
  <si>
    <t>Shrewsbury</t>
  </si>
  <si>
    <t>0271</t>
  </si>
  <si>
    <t>Shutesbury</t>
  </si>
  <si>
    <t>0272</t>
  </si>
  <si>
    <t>Somerset</t>
  </si>
  <si>
    <t>0273</t>
  </si>
  <si>
    <t>Somerville</t>
  </si>
  <si>
    <t>0274</t>
  </si>
  <si>
    <t>Southampton</t>
  </si>
  <si>
    <t>0275</t>
  </si>
  <si>
    <t>Southborough</t>
  </si>
  <si>
    <t>0276</t>
  </si>
  <si>
    <t>Southbridge</t>
  </si>
  <si>
    <t>0277</t>
  </si>
  <si>
    <t>South Hadley</t>
  </si>
  <si>
    <t>0278</t>
  </si>
  <si>
    <t>Springfield</t>
  </si>
  <si>
    <t>0281</t>
  </si>
  <si>
    <t>Stoneham</t>
  </si>
  <si>
    <t>0284</t>
  </si>
  <si>
    <t>Stoughton</t>
  </si>
  <si>
    <t>0285</t>
  </si>
  <si>
    <t>Sturbridge</t>
  </si>
  <si>
    <t>0287</t>
  </si>
  <si>
    <t>Sudbury</t>
  </si>
  <si>
    <t>0288</t>
  </si>
  <si>
    <t>Sunderland</t>
  </si>
  <si>
    <t>0289</t>
  </si>
  <si>
    <t>Sutton</t>
  </si>
  <si>
    <t>0290</t>
  </si>
  <si>
    <t>Swampscott</t>
  </si>
  <si>
    <t>0291</t>
  </si>
  <si>
    <t>Swansea</t>
  </si>
  <si>
    <t>0292</t>
  </si>
  <si>
    <t>Taunton</t>
  </si>
  <si>
    <t>0293</t>
  </si>
  <si>
    <t>Tewksbury</t>
  </si>
  <si>
    <t>0295</t>
  </si>
  <si>
    <t>Topsfield</t>
  </si>
  <si>
    <t>0298</t>
  </si>
  <si>
    <t>Truro</t>
  </si>
  <si>
    <t>0300</t>
  </si>
  <si>
    <t>Tyngsborough</t>
  </si>
  <si>
    <t>0301</t>
  </si>
  <si>
    <t>Uxbridge</t>
  </si>
  <si>
    <t>0304</t>
  </si>
  <si>
    <t>Wakefield</t>
  </si>
  <si>
    <t>0305</t>
  </si>
  <si>
    <t>Wales</t>
  </si>
  <si>
    <t>0306</t>
  </si>
  <si>
    <t>Walpole</t>
  </si>
  <si>
    <t>0307</t>
  </si>
  <si>
    <t>Waltham</t>
  </si>
  <si>
    <t>0308</t>
  </si>
  <si>
    <t>Ware</t>
  </si>
  <si>
    <t>0309</t>
  </si>
  <si>
    <t>Wareham</t>
  </si>
  <si>
    <t>0310</t>
  </si>
  <si>
    <t>Watertown</t>
  </si>
  <si>
    <t>0314</t>
  </si>
  <si>
    <t>Wayland</t>
  </si>
  <si>
    <t>0315</t>
  </si>
  <si>
    <t>Webster</t>
  </si>
  <si>
    <t>0316</t>
  </si>
  <si>
    <t>04/27/2026 &amp; 05/22/2026</t>
  </si>
  <si>
    <t>Wellesley</t>
  </si>
  <si>
    <t>0317</t>
  </si>
  <si>
    <t>Westborough</t>
  </si>
  <si>
    <t>0321</t>
  </si>
  <si>
    <t>West Boylston</t>
  </si>
  <si>
    <t>0322</t>
  </si>
  <si>
    <t>West Bridgewater</t>
  </si>
  <si>
    <t>0323</t>
  </si>
  <si>
    <t>Westfield</t>
  </si>
  <si>
    <t>0325</t>
  </si>
  <si>
    <t>Westford</t>
  </si>
  <si>
    <t>0326</t>
  </si>
  <si>
    <t>Westhampton</t>
  </si>
  <si>
    <t>0327</t>
  </si>
  <si>
    <t>Weston</t>
  </si>
  <si>
    <t>0330</t>
  </si>
  <si>
    <t>Westport</t>
  </si>
  <si>
    <t>0331</t>
  </si>
  <si>
    <t>West Springfield</t>
  </si>
  <si>
    <t>0332</t>
  </si>
  <si>
    <t>Westwood</t>
  </si>
  <si>
    <t>0335</t>
  </si>
  <si>
    <t>Weymouth</t>
  </si>
  <si>
    <t>0336</t>
  </si>
  <si>
    <t>Williamsburg</t>
  </si>
  <si>
    <t>0340</t>
  </si>
  <si>
    <t>Wilmington</t>
  </si>
  <si>
    <t>0342</t>
  </si>
  <si>
    <t>Winchendon</t>
  </si>
  <si>
    <t>0343</t>
  </si>
  <si>
    <t>Winchester</t>
  </si>
  <si>
    <t>0344</t>
  </si>
  <si>
    <t>Winthrop</t>
  </si>
  <si>
    <t>0346</t>
  </si>
  <si>
    <t>Woburn</t>
  </si>
  <si>
    <t>0347</t>
  </si>
  <si>
    <t>Worcester</t>
  </si>
  <si>
    <t>0348</t>
  </si>
  <si>
    <t>Worthington</t>
  </si>
  <si>
    <t>0349</t>
  </si>
  <si>
    <t>Wrentham</t>
  </si>
  <si>
    <t>0350</t>
  </si>
  <si>
    <t>Prospect Hill Academy Charter (District)</t>
  </si>
  <si>
    <t>0487</t>
  </si>
  <si>
    <t>Acton-Boxborough</t>
  </si>
  <si>
    <t>0600</t>
  </si>
  <si>
    <t>Hoosac Valley Regional</t>
  </si>
  <si>
    <t>0603</t>
  </si>
  <si>
    <t>Amherst-Pelham</t>
  </si>
  <si>
    <t>0605</t>
  </si>
  <si>
    <t>Ashburnham-Westminster</t>
  </si>
  <si>
    <t>0610</t>
  </si>
  <si>
    <t>Athol-Royalston</t>
  </si>
  <si>
    <t>0615</t>
  </si>
  <si>
    <t>Ayer Shirley School District</t>
  </si>
  <si>
    <t>0616</t>
  </si>
  <si>
    <t>Berkshire Hills</t>
  </si>
  <si>
    <t>0618</t>
  </si>
  <si>
    <t>Berlin-Boylston</t>
  </si>
  <si>
    <t>0620</t>
  </si>
  <si>
    <t>Blackstone-Millville</t>
  </si>
  <si>
    <t>0622</t>
  </si>
  <si>
    <t>Bridgewater-Raynham</t>
  </si>
  <si>
    <t>0625</t>
  </si>
  <si>
    <t>Chesterfield-Goshen</t>
  </si>
  <si>
    <t>0632</t>
  </si>
  <si>
    <t>Central Berkshire</t>
  </si>
  <si>
    <t>0635</t>
  </si>
  <si>
    <t>Concord-Carlisle</t>
  </si>
  <si>
    <t>0640</t>
  </si>
  <si>
    <t>Dennis-Yarmouth</t>
  </si>
  <si>
    <t>0645</t>
  </si>
  <si>
    <t>Dighton-Rehoboth</t>
  </si>
  <si>
    <t>0650</t>
  </si>
  <si>
    <t>Dover-Sherborn</t>
  </si>
  <si>
    <t>0655</t>
  </si>
  <si>
    <t>Dudley-Charlton Reg</t>
  </si>
  <si>
    <t>0658</t>
  </si>
  <si>
    <t>Nauset</t>
  </si>
  <si>
    <t>0660</t>
  </si>
  <si>
    <t>Farmington River Reg</t>
  </si>
  <si>
    <t>0662</t>
  </si>
  <si>
    <t>Freetown-Lakeville</t>
  </si>
  <si>
    <t>0665</t>
  </si>
  <si>
    <t>Frontier</t>
  </si>
  <si>
    <t>0670</t>
  </si>
  <si>
    <t>Gateway</t>
  </si>
  <si>
    <t>0672</t>
  </si>
  <si>
    <t>Groton-Dunstable</t>
  </si>
  <si>
    <t>0673</t>
  </si>
  <si>
    <t>Gill-Montague</t>
  </si>
  <si>
    <t>0674</t>
  </si>
  <si>
    <t>Hamilton-Wenham</t>
  </si>
  <si>
    <t>0675</t>
  </si>
  <si>
    <t>Hampden-Wilbraham</t>
  </si>
  <si>
    <t>0680</t>
  </si>
  <si>
    <t>Hampshire</t>
  </si>
  <si>
    <t>0683</t>
  </si>
  <si>
    <t>Hawlemont</t>
  </si>
  <si>
    <t>0685</t>
  </si>
  <si>
    <t>King Philip</t>
  </si>
  <si>
    <t>0690</t>
  </si>
  <si>
    <t>Lincoln-Sudbury</t>
  </si>
  <si>
    <t>0695</t>
  </si>
  <si>
    <t>Manchester Essex Regional</t>
  </si>
  <si>
    <t>0698</t>
  </si>
  <si>
    <t>Martha's Vineyard</t>
  </si>
  <si>
    <t>0700</t>
  </si>
  <si>
    <t>Masconomet</t>
  </si>
  <si>
    <t>0705</t>
  </si>
  <si>
    <t>Mendon-Upton</t>
  </si>
  <si>
    <t>0710</t>
  </si>
  <si>
    <t>Monomoy Regional School District</t>
  </si>
  <si>
    <t>0712</t>
  </si>
  <si>
    <t>Mount Greylock</t>
  </si>
  <si>
    <t>0715</t>
  </si>
  <si>
    <t>Mohawk Trail</t>
  </si>
  <si>
    <t>0717</t>
  </si>
  <si>
    <t>Narragansett</t>
  </si>
  <si>
    <t>0720</t>
  </si>
  <si>
    <t>Nashoba</t>
  </si>
  <si>
    <t>0725</t>
  </si>
  <si>
    <t>New Salem-Wendell</t>
  </si>
  <si>
    <t>0728</t>
  </si>
  <si>
    <t>Northboro-Southboro</t>
  </si>
  <si>
    <t>0730</t>
  </si>
  <si>
    <t>North Middlesex</t>
  </si>
  <si>
    <t>0735</t>
  </si>
  <si>
    <t>Old Rochester</t>
  </si>
  <si>
    <t>0740</t>
  </si>
  <si>
    <t>Pentucket</t>
  </si>
  <si>
    <t>0745</t>
  </si>
  <si>
    <t>Pioneer Valley</t>
  </si>
  <si>
    <t>0750</t>
  </si>
  <si>
    <t>Quabbin</t>
  </si>
  <si>
    <t>0753</t>
  </si>
  <si>
    <t>Ralph C Mahar</t>
  </si>
  <si>
    <t>0755</t>
  </si>
  <si>
    <t>Silver Lake</t>
  </si>
  <si>
    <t>0760</t>
  </si>
  <si>
    <t>Somerset Berkley Regional School District</t>
  </si>
  <si>
    <t>0763</t>
  </si>
  <si>
    <t>Southern Berkshire</t>
  </si>
  <si>
    <t>0765</t>
  </si>
  <si>
    <t>Southwick-Tolland-Granville Regional School District</t>
  </si>
  <si>
    <t>0766</t>
  </si>
  <si>
    <t>Spencer-E Brookfield</t>
  </si>
  <si>
    <t>0767</t>
  </si>
  <si>
    <t>Triton</t>
  </si>
  <si>
    <t>0773</t>
  </si>
  <si>
    <t>Wachusett</t>
  </si>
  <si>
    <t>0775</t>
  </si>
  <si>
    <t>Quaboag Regional</t>
  </si>
  <si>
    <t>0778</t>
  </si>
  <si>
    <t>Whitman-Hanson</t>
  </si>
  <si>
    <t>0780</t>
  </si>
  <si>
    <t>Essex North Shore Agricultural and Technical School District</t>
  </si>
  <si>
    <t>0817</t>
  </si>
  <si>
    <t>Greater Lawrence Regional Vocational Technical</t>
  </si>
  <si>
    <t>0823</t>
  </si>
  <si>
    <t>Grand Total</t>
  </si>
  <si>
    <t xml:space="preserve">"End of Worksheet" </t>
  </si>
  <si>
    <t>FY2026 Final Circuit Breaker Reimbursement Listing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</si>
</sst>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_);_(* \(#,##0.0000\);_(* &quot;-&quot;??_);_(@_)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43" fontId="3" fillId="0" borderId="0" xfId="1" applyFont="1"/>
    <xf numFmtId="164" fontId="4" fillId="0" borderId="0" xfId="1" applyNumberFormat="1" applyFont="1"/>
    <xf numFmtId="165" fontId="3" fillId="0" borderId="0" xfId="1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Continuous"/>
    </xf>
    <xf numFmtId="164" fontId="4" fillId="2" borderId="2" xfId="1" applyNumberFormat="1" applyFont="1" applyFill="1" applyBorder="1" applyAlignment="1">
      <alignment horizontal="centerContinuous"/>
    </xf>
    <xf numFmtId="164" fontId="4" fillId="2" borderId="3" xfId="1" applyNumberFormat="1" applyFont="1" applyFill="1" applyBorder="1" applyAlignment="1">
      <alignment horizontal="centerContinuous"/>
    </xf>
    <xf numFmtId="165" fontId="4" fillId="3" borderId="4" xfId="1" applyNumberFormat="1" applyFont="1" applyFill="1" applyBorder="1" applyAlignment="1">
      <alignment horizontal="centerContinuous"/>
    </xf>
    <xf numFmtId="165" fontId="4" fillId="3" borderId="5" xfId="1" applyNumberFormat="1" applyFont="1" applyFill="1" applyBorder="1" applyAlignment="1">
      <alignment horizontal="centerContinuous"/>
    </xf>
    <xf numFmtId="165" fontId="4" fillId="4" borderId="6" xfId="1" applyNumberFormat="1" applyFont="1" applyFill="1" applyBorder="1" applyAlignment="1">
      <alignment horizontal="centerContinuous"/>
    </xf>
    <xf numFmtId="165" fontId="4" fillId="4" borderId="4" xfId="1" applyNumberFormat="1" applyFont="1" applyFill="1" applyBorder="1" applyAlignment="1">
      <alignment horizontal="centerContinuous"/>
    </xf>
    <xf numFmtId="165" fontId="4" fillId="4" borderId="4" xfId="1" applyNumberFormat="1" applyFont="1" applyFill="1" applyBorder="1" applyAlignment="1">
      <alignment horizontal="left"/>
    </xf>
    <xf numFmtId="165" fontId="4" fillId="4" borderId="5" xfId="1" applyNumberFormat="1" applyFont="1" applyFill="1" applyBorder="1" applyAlignment="1">
      <alignment horizontal="centerContinuous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164" fontId="2" fillId="5" borderId="8" xfId="1" applyNumberFormat="1" applyFont="1" applyFill="1" applyBorder="1" applyAlignment="1">
      <alignment horizontal="center" wrapText="1"/>
    </xf>
    <xf numFmtId="165" fontId="2" fillId="3" borderId="7" xfId="1" applyNumberFormat="1" applyFont="1" applyFill="1" applyBorder="1" applyAlignment="1">
      <alignment horizontal="center" wrapText="1"/>
    </xf>
    <xf numFmtId="165" fontId="2" fillId="3" borderId="10" xfId="1" applyNumberFormat="1" applyFont="1" applyFill="1" applyBorder="1" applyAlignment="1">
      <alignment horizontal="center" wrapText="1"/>
    </xf>
    <xf numFmtId="165" fontId="2" fillId="3" borderId="9" xfId="1" applyNumberFormat="1" applyFont="1" applyFill="1" applyBorder="1" applyAlignment="1">
      <alignment horizontal="center" wrapText="1"/>
    </xf>
    <xf numFmtId="165" fontId="2" fillId="3" borderId="11" xfId="1" applyNumberFormat="1" applyFont="1" applyFill="1" applyBorder="1" applyAlignment="1">
      <alignment horizontal="center" wrapText="1"/>
    </xf>
    <xf numFmtId="165" fontId="2" fillId="4" borderId="9" xfId="1" applyNumberFormat="1" applyFont="1" applyFill="1" applyBorder="1" applyAlignment="1">
      <alignment horizontal="center" wrapText="1"/>
    </xf>
    <xf numFmtId="14" fontId="2" fillId="4" borderId="10" xfId="0" applyNumberFormat="1" applyFont="1" applyFill="1" applyBorder="1" applyAlignment="1">
      <alignment horizontal="center" wrapText="1"/>
    </xf>
    <xf numFmtId="165" fontId="2" fillId="6" borderId="7" xfId="1" applyNumberFormat="1" applyFont="1" applyFill="1" applyBorder="1" applyAlignment="1">
      <alignment horizontal="center" wrapText="1"/>
    </xf>
    <xf numFmtId="165" fontId="2" fillId="6" borderId="10" xfId="1" applyNumberFormat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165" fontId="4" fillId="5" borderId="0" xfId="1" applyNumberFormat="1" applyFont="1" applyFill="1"/>
    <xf numFmtId="165" fontId="3" fillId="0" borderId="0" xfId="1" applyNumberFormat="1" applyFont="1" applyFill="1"/>
    <xf numFmtId="165" fontId="4" fillId="3" borderId="0" xfId="1" applyNumberFormat="1" applyFont="1" applyFill="1"/>
    <xf numFmtId="14" fontId="3" fillId="0" borderId="0" xfId="0" applyNumberFormat="1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 wrapText="1"/>
    </xf>
    <xf numFmtId="43" fontId="3" fillId="0" borderId="0" xfId="0" applyNumberFormat="1" applyFont="1"/>
    <xf numFmtId="165" fontId="3" fillId="0" borderId="0" xfId="0" applyNumberFormat="1" applyFont="1"/>
    <xf numFmtId="14" fontId="3" fillId="0" borderId="0" xfId="0" applyNumberFormat="1" applyFont="1" applyAlignment="1">
      <alignment horizontal="right" wrapText="1"/>
    </xf>
    <xf numFmtId="0" fontId="3" fillId="0" borderId="0" xfId="0" quotePrefix="1" applyFont="1" applyAlignment="1">
      <alignment horizontal="center"/>
    </xf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165" fontId="4" fillId="0" borderId="12" xfId="1" applyNumberFormat="1" applyFont="1" applyBorder="1"/>
    <xf numFmtId="165" fontId="4" fillId="0" borderId="0" xfId="1" applyNumberFormat="1" applyFont="1"/>
    <xf numFmtId="165" fontId="3" fillId="0" borderId="0" xfId="1" applyNumberFormat="1" applyFont="1" applyAlignment="1">
      <alignment horizontal="left"/>
    </xf>
    <xf numFmtId="165" fontId="3" fillId="0" borderId="0" xfId="1" applyNumberFormat="1" applyFont="1" applyAlignment="1">
      <alignment wrapText="1"/>
    </xf>
    <xf numFmtId="43" fontId="3" fillId="0" borderId="0" xfId="1" applyFont="1" applyAlignment="1">
      <alignment wrapText="1"/>
    </xf>
    <xf numFmtId="43" fontId="4" fillId="0" borderId="0" xfId="1" applyFont="1"/>
    <xf numFmtId="43" fontId="3" fillId="0" borderId="0" xfId="1" applyFont="1" applyAlignment="1">
      <alignment horizontal="left"/>
    </xf>
    <xf numFmtId="165" fontId="4" fillId="2" borderId="2" xfId="1" applyNumberFormat="1" applyFont="1" applyFill="1" applyBorder="1" applyAlignment="1">
      <alignment horizontal="centerContinuous"/>
    </xf>
    <xf numFmtId="165" fontId="2" fillId="2" borderId="8" xfId="1" applyNumberFormat="1" applyFont="1" applyFill="1" applyBorder="1" applyAlignment="1">
      <alignment horizontal="center" wrapText="1"/>
    </xf>
    <xf numFmtId="165" fontId="2" fillId="2" borderId="9" xfId="1" applyNumberFormat="1" applyFont="1" applyFill="1" applyBorder="1" applyAlignment="1">
      <alignment horizontal="center" wrapText="1"/>
    </xf>
    <xf numFmtId="165" fontId="6" fillId="0" borderId="0" xfId="1" applyNumberFormat="1" applyFont="1"/>
  </cellXfs>
  <cellStyles count="2">
    <cellStyle name="Comma" xfId="1" builtinId="3"/>
    <cellStyle name="Normal" xfId="0" builtinId="0"/>
  </cellStyles>
  <dxfs count="28"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border outline="0">
        <top style="medium">
          <color rgb="FF000000"/>
        </top>
        <bottom style="double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165" formatCode="_(* #,##0_);_(* \(#,##0\);_(* &quot;-&quot;??_);_(@_)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CADD9-CE25-4A6D-ADE7-AD64E7034109}" name="Table22" displayName="Table22" ref="A5:X286" totalsRowShown="0" headerRowDxfId="27" dataDxfId="25" headerRowBorderDxfId="26" tableBorderDxfId="24" headerRowCellStyle="Comma">
  <autoFilter ref="A5:X286" xr:uid="{3EE8CDE3-BD81-49D8-A96B-E79AEE912D85}"/>
  <tableColumns count="24">
    <tableColumn id="1" xr3:uid="{B6A2C24F-DBB9-45E4-86BD-ED363F698F1A}" name="District Name" dataDxfId="23"/>
    <tableColumn id="2" xr3:uid="{517A643D-903C-4E74-957B-E6ABC46905DB}" name="LEA Code" dataDxfId="22"/>
    <tableColumn id="3" xr3:uid="{9307F886-CF5F-4C93-98C7-9A6CF0C20B29}" name="Number of Eligible Students" dataDxfId="21"/>
    <tableColumn id="4" xr3:uid="{0BF6DCD5-8BC2-42B8-9589-1BFF0F8F6369}" name="Total Eligible Cost " dataDxfId="20" dataCellStyle="Comma"/>
    <tableColumn id="5" xr3:uid="{BA688448-118D-4E9A-BD2A-48CA9C828250}" name="Threshold Applied" dataDxfId="19" dataCellStyle="Comma"/>
    <tableColumn id="6" xr3:uid="{2F5AC5B2-F917-457A-88A9-6D99FFFCE7A8}" name="Net Instructional &amp; Tuition Cost" dataDxfId="18" dataCellStyle="Comma"/>
    <tableColumn id="7" xr3:uid="{43A40260-3E20-4C13-B46F-3A83B5407AF3}" name="Net Transportation Cost" dataDxfId="17" dataCellStyle="Comma"/>
    <tableColumn id="8" xr3:uid="{F42D636A-CA7C-430F-B6BB-3983442F4BFF}" name="Net Total Cost" dataDxfId="16" dataCellStyle="Comma"/>
    <tableColumn id="9" xr3:uid="{AF90AD80-8B54-4C39-A0C4-D905054F0522}" name="Special Indicator Instructional &amp; Tuition @ 100%" dataDxfId="15" dataCellStyle="Comma"/>
    <tableColumn id="10" xr3:uid="{E6DB1BA8-9944-44EB-860B-0D44639C67B5}" name="Instructional &amp; Tuition @ 75%" dataDxfId="14" dataCellStyle="Comma"/>
    <tableColumn id="11" xr3:uid="{9AA5E255-81EB-4D29-83D9-C0313AF2D835}" name="Special Indicator Transportation @ 100%" dataDxfId="13" dataCellStyle="Comma"/>
    <tableColumn id="12" xr3:uid="{DB0CDBA7-5CE4-48B8-856F-46225A137DD6}" name="Transportation @ 67.889468%" dataDxfId="12" dataCellStyle="Comma"/>
    <tableColumn id="13" xr3:uid="{9E9C5BCF-0B66-47D2-8E19-51AE8C11E1F5}" name="Prior Year Adjustments" dataDxfId="11" dataCellStyle="Comma"/>
    <tableColumn id="14" xr3:uid="{84EA0FE0-451E-4075-A1BC-6FFC628EF708}" name="Total Reimbursement" dataDxfId="10" dataCellStyle="Comma"/>
    <tableColumn id="15" xr3:uid="{B49AE012-F5C6-4291-8773-5E40331A88C4}" name="Q1 Payment Amount" dataDxfId="9" dataCellStyle="Comma"/>
    <tableColumn id="16" xr3:uid="{A2825696-C3F4-4928-8C02-07B572732440}" name="Q1 Payment Date" dataDxfId="8"/>
    <tableColumn id="17" xr3:uid="{81652641-C3E1-40CD-BB0D-C1FD4FC96E3D}" name="Q2 Payment Amount" dataDxfId="7" dataCellStyle="Comma"/>
    <tableColumn id="18" xr3:uid="{2C5FD160-4A60-4F5F-91A9-5C1403152A7B}" name="Q2 Payment Date" dataDxfId="6"/>
    <tableColumn id="19" xr3:uid="{CA04036C-CC66-413A-BA60-44C8F07CC002}" name="Q3 Payment Amount" dataDxfId="5" dataCellStyle="Comma"/>
    <tableColumn id="20" xr3:uid="{A0B3CC42-C89B-4E5C-905B-52159A8AC8B3}" name="Q3 Payment Date" dataDxfId="4"/>
    <tableColumn id="21" xr3:uid="{E0631D48-485E-48A2-ABA3-83E91E2968BC}" name="Q4 Payment Amount" dataDxfId="3" dataCellStyle="Comma"/>
    <tableColumn id="22" xr3:uid="{B15A1352-F3BA-45D7-A3B6-BD215BEB3E77}" name="Q4 Payment Date" dataDxfId="2"/>
    <tableColumn id="23" xr3:uid="{F76F1AFA-CD74-4E75-BC09-612C93953E86}" name="FY26 Relief Payment Amount" dataDxfId="1" dataCellStyle="Comma"/>
    <tableColumn id="24" xr3:uid="{2391CF8A-C7DC-4248-B2E6-CEB17BFE6C6E}" name="Relief Payment Da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C69F-57C3-4572-8BB5-6FB188A0E828}">
  <dimension ref="A1:AA292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4" sqref="A4"/>
      <selection pane="bottomRight"/>
    </sheetView>
  </sheetViews>
  <sheetFormatPr defaultColWidth="8.85546875" defaultRowHeight="15.75" x14ac:dyDescent="0.25"/>
  <cols>
    <col min="1" max="1" width="62.42578125" style="3" bestFit="1" customWidth="1"/>
    <col min="2" max="2" width="12.42578125" style="2" customWidth="1"/>
    <col min="3" max="3" width="11.7109375" style="3" customWidth="1"/>
    <col min="4" max="4" width="18.28515625" style="6" bestFit="1" customWidth="1"/>
    <col min="5" max="5" width="17.28515625" style="6" bestFit="1" customWidth="1"/>
    <col min="6" max="7" width="23.28515625" style="6" bestFit="1" customWidth="1"/>
    <col min="8" max="8" width="18.7109375" style="5" customWidth="1"/>
    <col min="9" max="14" width="18.7109375" style="6" customWidth="1"/>
    <col min="15" max="15" width="16" style="6" customWidth="1"/>
    <col min="16" max="16" width="15.7109375" style="3" bestFit="1" customWidth="1"/>
    <col min="17" max="17" width="16.42578125" style="6" bestFit="1" customWidth="1"/>
    <col min="18" max="18" width="15.7109375" style="3" bestFit="1" customWidth="1"/>
    <col min="19" max="19" width="16.42578125" style="6" bestFit="1" customWidth="1"/>
    <col min="20" max="20" width="15.7109375" style="3" bestFit="1" customWidth="1"/>
    <col min="21" max="21" width="16.42578125" style="6" bestFit="1" customWidth="1"/>
    <col min="22" max="22" width="13.7109375" style="7" bestFit="1" customWidth="1"/>
    <col min="23" max="23" width="15.7109375" style="6" bestFit="1" customWidth="1"/>
    <col min="24" max="24" width="14.7109375" style="8" customWidth="1"/>
    <col min="25" max="16384" width="8.85546875" style="3"/>
  </cols>
  <sheetData>
    <row r="1" spans="1:27" ht="18.75" x14ac:dyDescent="0.3">
      <c r="A1" s="54" t="s">
        <v>593</v>
      </c>
    </row>
    <row r="2" spans="1:27" x14ac:dyDescent="0.25">
      <c r="A2" s="1" t="s">
        <v>0</v>
      </c>
    </row>
    <row r="3" spans="1:27" ht="16.5" thickBot="1" x14ac:dyDescent="0.3">
      <c r="A3" s="1"/>
    </row>
    <row r="4" spans="1:27" ht="16.5" thickBot="1" x14ac:dyDescent="0.3">
      <c r="A4" s="9"/>
      <c r="B4" s="10"/>
      <c r="C4" s="11"/>
      <c r="D4" s="51" t="s">
        <v>1</v>
      </c>
      <c r="E4" s="51"/>
      <c r="F4" s="51"/>
      <c r="G4" s="51"/>
      <c r="H4" s="12"/>
      <c r="I4" s="13" t="s">
        <v>2</v>
      </c>
      <c r="J4" s="13"/>
      <c r="K4" s="13"/>
      <c r="L4" s="13"/>
      <c r="M4" s="13"/>
      <c r="N4" s="14"/>
      <c r="O4" s="15" t="s">
        <v>3</v>
      </c>
      <c r="P4" s="16"/>
      <c r="Q4" s="16"/>
      <c r="R4" s="16"/>
      <c r="S4" s="16"/>
      <c r="T4" s="16"/>
      <c r="U4" s="16"/>
      <c r="V4" s="17"/>
      <c r="W4" s="16"/>
      <c r="X4" s="18"/>
    </row>
    <row r="5" spans="1:27" s="31" customFormat="1" ht="48" thickBot="1" x14ac:dyDescent="0.3">
      <c r="A5" s="19" t="s">
        <v>4</v>
      </c>
      <c r="B5" s="20" t="s">
        <v>5</v>
      </c>
      <c r="C5" s="21" t="s">
        <v>6</v>
      </c>
      <c r="D5" s="52" t="s">
        <v>7</v>
      </c>
      <c r="E5" s="53" t="s">
        <v>8</v>
      </c>
      <c r="F5" s="52" t="s">
        <v>9</v>
      </c>
      <c r="G5" s="53" t="s">
        <v>10</v>
      </c>
      <c r="H5" s="22" t="s">
        <v>11</v>
      </c>
      <c r="I5" s="23" t="s">
        <v>12</v>
      </c>
      <c r="J5" s="24" t="s">
        <v>13</v>
      </c>
      <c r="K5" s="25" t="s">
        <v>14</v>
      </c>
      <c r="L5" s="24" t="s">
        <v>15</v>
      </c>
      <c r="M5" s="24" t="s">
        <v>16</v>
      </c>
      <c r="N5" s="26" t="s">
        <v>17</v>
      </c>
      <c r="O5" s="27" t="s">
        <v>18</v>
      </c>
      <c r="P5" s="28" t="s">
        <v>19</v>
      </c>
      <c r="Q5" s="27" t="s">
        <v>20</v>
      </c>
      <c r="R5" s="28" t="s">
        <v>21</v>
      </c>
      <c r="S5" s="27" t="s">
        <v>22</v>
      </c>
      <c r="T5" s="28" t="s">
        <v>23</v>
      </c>
      <c r="U5" s="27" t="s">
        <v>24</v>
      </c>
      <c r="V5" s="28" t="s">
        <v>25</v>
      </c>
      <c r="W5" s="29" t="s">
        <v>26</v>
      </c>
      <c r="X5" s="30" t="s">
        <v>27</v>
      </c>
    </row>
    <row r="6" spans="1:27" x14ac:dyDescent="0.25">
      <c r="A6" s="3" t="s">
        <v>28</v>
      </c>
      <c r="B6" s="2" t="s">
        <v>29</v>
      </c>
      <c r="C6" s="3">
        <v>36</v>
      </c>
      <c r="D6" s="33">
        <v>4221915</v>
      </c>
      <c r="E6" s="33">
        <v>1887084</v>
      </c>
      <c r="F6" s="33">
        <v>1437431</v>
      </c>
      <c r="G6" s="33">
        <v>897400</v>
      </c>
      <c r="H6" s="32">
        <v>2334831</v>
      </c>
      <c r="I6" s="33">
        <v>27033</v>
      </c>
      <c r="J6" s="33">
        <v>1057799</v>
      </c>
      <c r="K6" s="33">
        <v>15318</v>
      </c>
      <c r="L6" s="33">
        <v>598841</v>
      </c>
      <c r="M6" s="33">
        <v>0</v>
      </c>
      <c r="N6" s="34">
        <v>1698991</v>
      </c>
      <c r="O6" s="33">
        <v>410349</v>
      </c>
      <c r="P6" s="35">
        <v>45929</v>
      </c>
      <c r="Q6" s="33">
        <v>410349</v>
      </c>
      <c r="R6" s="35">
        <v>46020</v>
      </c>
      <c r="S6" s="33">
        <v>410349</v>
      </c>
      <c r="T6" s="35">
        <v>46112</v>
      </c>
      <c r="U6" s="33">
        <v>467944</v>
      </c>
      <c r="V6" s="36">
        <v>46195</v>
      </c>
      <c r="W6" s="6">
        <v>0</v>
      </c>
      <c r="X6" s="37" t="s">
        <v>30</v>
      </c>
      <c r="Z6" s="38"/>
      <c r="AA6" s="39"/>
    </row>
    <row r="7" spans="1:27" x14ac:dyDescent="0.25">
      <c r="A7" s="3" t="s">
        <v>31</v>
      </c>
      <c r="B7" s="2" t="s">
        <v>32</v>
      </c>
      <c r="C7" s="3">
        <v>15</v>
      </c>
      <c r="D7" s="33">
        <v>1154071</v>
      </c>
      <c r="E7" s="33">
        <v>733866</v>
      </c>
      <c r="F7" s="33">
        <v>186916</v>
      </c>
      <c r="G7" s="33">
        <v>233289</v>
      </c>
      <c r="H7" s="32">
        <v>420205</v>
      </c>
      <c r="I7" s="33">
        <v>0</v>
      </c>
      <c r="J7" s="33">
        <v>140187</v>
      </c>
      <c r="K7" s="33">
        <v>0</v>
      </c>
      <c r="L7" s="33">
        <v>158379</v>
      </c>
      <c r="M7" s="33">
        <v>0</v>
      </c>
      <c r="N7" s="34">
        <v>298566</v>
      </c>
      <c r="O7" s="33">
        <v>70833</v>
      </c>
      <c r="P7" s="35">
        <v>45929</v>
      </c>
      <c r="Q7" s="33">
        <v>70833</v>
      </c>
      <c r="R7" s="35">
        <v>46020</v>
      </c>
      <c r="S7" s="33">
        <v>70833</v>
      </c>
      <c r="T7" s="35">
        <v>46112</v>
      </c>
      <c r="U7" s="33">
        <v>86067</v>
      </c>
      <c r="V7" s="36">
        <v>46195</v>
      </c>
      <c r="W7" s="6">
        <v>0</v>
      </c>
      <c r="X7" s="37" t="s">
        <v>30</v>
      </c>
      <c r="Z7" s="38"/>
      <c r="AA7" s="39"/>
    </row>
    <row r="8" spans="1:27" x14ac:dyDescent="0.25">
      <c r="A8" s="3" t="s">
        <v>33</v>
      </c>
      <c r="B8" s="2" t="s">
        <v>34</v>
      </c>
      <c r="C8" s="3">
        <v>33</v>
      </c>
      <c r="D8" s="33">
        <v>4137630</v>
      </c>
      <c r="E8" s="33">
        <v>1729827</v>
      </c>
      <c r="F8" s="33">
        <v>1944460</v>
      </c>
      <c r="G8" s="33">
        <v>463343</v>
      </c>
      <c r="H8" s="32">
        <v>2407803</v>
      </c>
      <c r="I8" s="33">
        <v>0</v>
      </c>
      <c r="J8" s="33">
        <v>1458345</v>
      </c>
      <c r="K8" s="33">
        <v>0</v>
      </c>
      <c r="L8" s="33">
        <v>314561</v>
      </c>
      <c r="M8" s="33">
        <v>0</v>
      </c>
      <c r="N8" s="34">
        <v>1772906</v>
      </c>
      <c r="O8" s="33">
        <v>435663</v>
      </c>
      <c r="P8" s="35">
        <v>45929</v>
      </c>
      <c r="Q8" s="33">
        <v>435663</v>
      </c>
      <c r="R8" s="35">
        <v>46020</v>
      </c>
      <c r="S8" s="33">
        <v>435663</v>
      </c>
      <c r="T8" s="35">
        <v>46112</v>
      </c>
      <c r="U8" s="33">
        <v>465917</v>
      </c>
      <c r="V8" s="36">
        <v>46195</v>
      </c>
      <c r="W8" s="6">
        <v>0</v>
      </c>
      <c r="X8" s="37" t="s">
        <v>30</v>
      </c>
      <c r="Z8" s="38"/>
      <c r="AA8" s="39"/>
    </row>
    <row r="9" spans="1:27" x14ac:dyDescent="0.25">
      <c r="A9" s="3" t="s">
        <v>35</v>
      </c>
      <c r="B9" s="2" t="s">
        <v>36</v>
      </c>
      <c r="C9" s="3">
        <v>39</v>
      </c>
      <c r="D9" s="33">
        <v>3983356</v>
      </c>
      <c r="E9" s="33">
        <v>1991922</v>
      </c>
      <c r="F9" s="33">
        <v>1459842</v>
      </c>
      <c r="G9" s="33">
        <v>531593</v>
      </c>
      <c r="H9" s="32">
        <v>1991435</v>
      </c>
      <c r="I9" s="33">
        <v>0</v>
      </c>
      <c r="J9" s="33">
        <v>1094882</v>
      </c>
      <c r="K9" s="33">
        <v>0</v>
      </c>
      <c r="L9" s="33">
        <v>360896</v>
      </c>
      <c r="M9" s="33">
        <v>0</v>
      </c>
      <c r="N9" s="34">
        <v>1455778</v>
      </c>
      <c r="O9" s="33">
        <v>355267</v>
      </c>
      <c r="P9" s="35">
        <v>45929</v>
      </c>
      <c r="Q9" s="33">
        <v>355267</v>
      </c>
      <c r="R9" s="35">
        <v>46020</v>
      </c>
      <c r="S9" s="33">
        <v>355267</v>
      </c>
      <c r="T9" s="35">
        <v>46112</v>
      </c>
      <c r="U9" s="33">
        <v>389977</v>
      </c>
      <c r="V9" s="36">
        <v>46195</v>
      </c>
      <c r="W9" s="6">
        <v>0</v>
      </c>
      <c r="X9" s="37" t="s">
        <v>30</v>
      </c>
      <c r="Z9" s="38"/>
      <c r="AA9" s="39"/>
    </row>
    <row r="10" spans="1:27" x14ac:dyDescent="0.25">
      <c r="A10" s="3" t="s">
        <v>37</v>
      </c>
      <c r="B10" s="2" t="s">
        <v>38</v>
      </c>
      <c r="C10" s="3">
        <v>11</v>
      </c>
      <c r="D10" s="33">
        <v>925970</v>
      </c>
      <c r="E10" s="33">
        <v>576609</v>
      </c>
      <c r="F10" s="33">
        <v>237680</v>
      </c>
      <c r="G10" s="33">
        <v>111681</v>
      </c>
      <c r="H10" s="32">
        <v>349361</v>
      </c>
      <c r="I10" s="33">
        <v>0</v>
      </c>
      <c r="J10" s="33">
        <v>178260</v>
      </c>
      <c r="K10" s="33">
        <v>0</v>
      </c>
      <c r="L10" s="33">
        <v>75820</v>
      </c>
      <c r="M10" s="33">
        <v>0</v>
      </c>
      <c r="N10" s="34">
        <v>254080</v>
      </c>
      <c r="O10" s="33">
        <v>61697</v>
      </c>
      <c r="P10" s="35">
        <v>45929</v>
      </c>
      <c r="Q10" s="33">
        <v>61697</v>
      </c>
      <c r="R10" s="35">
        <v>46020</v>
      </c>
      <c r="S10" s="33">
        <v>61697</v>
      </c>
      <c r="T10" s="35">
        <v>46112</v>
      </c>
      <c r="U10" s="33">
        <v>68989</v>
      </c>
      <c r="V10" s="36">
        <v>46195</v>
      </c>
      <c r="W10" s="6">
        <v>0</v>
      </c>
      <c r="X10" s="37" t="s">
        <v>30</v>
      </c>
      <c r="Z10" s="38"/>
      <c r="AA10" s="39"/>
    </row>
    <row r="11" spans="1:27" x14ac:dyDescent="0.25">
      <c r="A11" s="3" t="s">
        <v>39</v>
      </c>
      <c r="B11" s="2" t="s">
        <v>40</v>
      </c>
      <c r="C11" s="3">
        <v>53</v>
      </c>
      <c r="D11" s="33">
        <v>8705948</v>
      </c>
      <c r="E11" s="33">
        <v>2778207</v>
      </c>
      <c r="F11" s="33">
        <v>4512798</v>
      </c>
      <c r="G11" s="33">
        <v>1414944</v>
      </c>
      <c r="H11" s="32">
        <v>5927742</v>
      </c>
      <c r="I11" s="33">
        <v>0</v>
      </c>
      <c r="J11" s="33">
        <v>3384599</v>
      </c>
      <c r="K11" s="33">
        <v>0</v>
      </c>
      <c r="L11" s="33">
        <v>960598</v>
      </c>
      <c r="M11" s="33">
        <v>-13295</v>
      </c>
      <c r="N11" s="34">
        <v>4331902</v>
      </c>
      <c r="O11" s="33">
        <v>1059878</v>
      </c>
      <c r="P11" s="35">
        <v>45929</v>
      </c>
      <c r="Q11" s="33">
        <v>1059878</v>
      </c>
      <c r="R11" s="35">
        <v>46020</v>
      </c>
      <c r="S11" s="33">
        <v>1059878</v>
      </c>
      <c r="T11" s="35">
        <v>46112</v>
      </c>
      <c r="U11" s="33">
        <v>1152268</v>
      </c>
      <c r="V11" s="36">
        <v>46195</v>
      </c>
      <c r="W11" s="6">
        <v>0</v>
      </c>
      <c r="X11" s="37" t="s">
        <v>30</v>
      </c>
      <c r="Z11" s="38"/>
      <c r="AA11" s="39"/>
    </row>
    <row r="12" spans="1:27" x14ac:dyDescent="0.25">
      <c r="A12" s="3" t="s">
        <v>41</v>
      </c>
      <c r="B12" s="2" t="s">
        <v>42</v>
      </c>
      <c r="C12" s="3">
        <v>58</v>
      </c>
      <c r="D12" s="33">
        <v>6032577</v>
      </c>
      <c r="E12" s="33">
        <v>2961674</v>
      </c>
      <c r="F12" s="33">
        <v>2519434</v>
      </c>
      <c r="G12" s="33">
        <v>551469</v>
      </c>
      <c r="H12" s="32">
        <v>3070903</v>
      </c>
      <c r="I12" s="33">
        <v>0</v>
      </c>
      <c r="J12" s="33">
        <v>1889576</v>
      </c>
      <c r="K12" s="33">
        <v>0</v>
      </c>
      <c r="L12" s="33">
        <v>374389</v>
      </c>
      <c r="M12" s="33">
        <v>0</v>
      </c>
      <c r="N12" s="34">
        <v>2263965</v>
      </c>
      <c r="O12" s="33">
        <v>556989</v>
      </c>
      <c r="P12" s="35">
        <v>45929</v>
      </c>
      <c r="Q12" s="33">
        <v>556989</v>
      </c>
      <c r="R12" s="35">
        <v>46020</v>
      </c>
      <c r="S12" s="33">
        <v>556989</v>
      </c>
      <c r="T12" s="35">
        <v>46112</v>
      </c>
      <c r="U12" s="33">
        <v>592998</v>
      </c>
      <c r="V12" s="36">
        <v>46195</v>
      </c>
      <c r="W12" s="6">
        <v>0</v>
      </c>
      <c r="X12" s="37" t="s">
        <v>30</v>
      </c>
      <c r="Z12" s="38"/>
      <c r="AA12" s="39"/>
    </row>
    <row r="13" spans="1:27" x14ac:dyDescent="0.25">
      <c r="A13" s="3" t="s">
        <v>43</v>
      </c>
      <c r="B13" s="2" t="s">
        <v>44</v>
      </c>
      <c r="C13" s="3">
        <v>29</v>
      </c>
      <c r="D13" s="33">
        <v>4237779</v>
      </c>
      <c r="E13" s="33">
        <v>1520151</v>
      </c>
      <c r="F13" s="33">
        <v>1892498</v>
      </c>
      <c r="G13" s="33">
        <v>825130</v>
      </c>
      <c r="H13" s="32">
        <v>2717628</v>
      </c>
      <c r="I13" s="33">
        <v>0</v>
      </c>
      <c r="J13" s="33">
        <v>1419374</v>
      </c>
      <c r="K13" s="33">
        <v>0</v>
      </c>
      <c r="L13" s="33">
        <v>560176</v>
      </c>
      <c r="M13" s="33">
        <v>0</v>
      </c>
      <c r="N13" s="34">
        <v>1979550</v>
      </c>
      <c r="O13" s="33">
        <v>481418</v>
      </c>
      <c r="P13" s="35">
        <v>45929</v>
      </c>
      <c r="Q13" s="33">
        <v>481418</v>
      </c>
      <c r="R13" s="35">
        <v>46020</v>
      </c>
      <c r="S13" s="33">
        <v>481418</v>
      </c>
      <c r="T13" s="35">
        <v>46112</v>
      </c>
      <c r="U13" s="33">
        <v>535296</v>
      </c>
      <c r="V13" s="36">
        <v>46195</v>
      </c>
      <c r="W13" s="6">
        <v>0</v>
      </c>
      <c r="X13" s="37" t="s">
        <v>30</v>
      </c>
      <c r="Z13" s="38"/>
      <c r="AA13" s="39"/>
    </row>
    <row r="14" spans="1:27" x14ac:dyDescent="0.25">
      <c r="A14" s="3" t="s">
        <v>45</v>
      </c>
      <c r="B14" s="2" t="s">
        <v>46</v>
      </c>
      <c r="C14" s="3">
        <v>40</v>
      </c>
      <c r="D14" s="33">
        <v>6293247</v>
      </c>
      <c r="E14" s="33">
        <v>2044341</v>
      </c>
      <c r="F14" s="33">
        <v>3344273</v>
      </c>
      <c r="G14" s="33">
        <v>904633</v>
      </c>
      <c r="H14" s="32">
        <v>4248906</v>
      </c>
      <c r="I14" s="33">
        <v>0</v>
      </c>
      <c r="J14" s="33">
        <v>2508205</v>
      </c>
      <c r="K14" s="33">
        <v>0</v>
      </c>
      <c r="L14" s="33">
        <v>614151</v>
      </c>
      <c r="M14" s="33">
        <v>0</v>
      </c>
      <c r="N14" s="34">
        <v>3122356</v>
      </c>
      <c r="O14" s="33">
        <v>767637</v>
      </c>
      <c r="P14" s="35">
        <v>45929</v>
      </c>
      <c r="Q14" s="33">
        <v>767637</v>
      </c>
      <c r="R14" s="35">
        <v>46020</v>
      </c>
      <c r="S14" s="33">
        <v>764007</v>
      </c>
      <c r="T14" s="35">
        <v>46112</v>
      </c>
      <c r="U14" s="33">
        <v>823075</v>
      </c>
      <c r="V14" s="36">
        <v>46195</v>
      </c>
      <c r="W14" s="6">
        <v>0</v>
      </c>
      <c r="X14" s="37" t="s">
        <v>30</v>
      </c>
      <c r="Z14" s="38"/>
      <c r="AA14" s="39"/>
    </row>
    <row r="15" spans="1:27" x14ac:dyDescent="0.25">
      <c r="A15" s="3" t="s">
        <v>47</v>
      </c>
      <c r="B15" s="2" t="s">
        <v>48</v>
      </c>
      <c r="C15" s="3">
        <v>26</v>
      </c>
      <c r="D15" s="33">
        <v>2293556</v>
      </c>
      <c r="E15" s="33">
        <v>1336685</v>
      </c>
      <c r="F15" s="33">
        <v>625979</v>
      </c>
      <c r="G15" s="33">
        <v>330893</v>
      </c>
      <c r="H15" s="32">
        <v>956872</v>
      </c>
      <c r="I15" s="33">
        <v>0</v>
      </c>
      <c r="J15" s="33">
        <v>469484</v>
      </c>
      <c r="K15" s="33">
        <v>0</v>
      </c>
      <c r="L15" s="33">
        <v>224641</v>
      </c>
      <c r="M15" s="33">
        <v>0</v>
      </c>
      <c r="N15" s="34">
        <v>694125</v>
      </c>
      <c r="O15" s="33">
        <v>166645</v>
      </c>
      <c r="P15" s="35">
        <v>45929</v>
      </c>
      <c r="Q15" s="33">
        <v>166645</v>
      </c>
      <c r="R15" s="35">
        <v>46020</v>
      </c>
      <c r="S15" s="33">
        <v>166645</v>
      </c>
      <c r="T15" s="35">
        <v>46112</v>
      </c>
      <c r="U15" s="33">
        <v>194190</v>
      </c>
      <c r="V15" s="36">
        <v>46195</v>
      </c>
      <c r="W15" s="6">
        <v>0</v>
      </c>
      <c r="X15" s="37" t="s">
        <v>30</v>
      </c>
      <c r="Z15" s="38"/>
      <c r="AA15" s="39"/>
    </row>
    <row r="16" spans="1:27" x14ac:dyDescent="0.25">
      <c r="A16" s="3" t="s">
        <v>49</v>
      </c>
      <c r="B16" s="2" t="s">
        <v>50</v>
      </c>
      <c r="C16" s="3">
        <v>9</v>
      </c>
      <c r="D16" s="33">
        <v>1236666</v>
      </c>
      <c r="E16" s="33">
        <v>471771</v>
      </c>
      <c r="F16" s="33">
        <v>439683</v>
      </c>
      <c r="G16" s="33">
        <v>325212</v>
      </c>
      <c r="H16" s="32">
        <v>764895</v>
      </c>
      <c r="I16" s="33">
        <v>0</v>
      </c>
      <c r="J16" s="33">
        <v>329762</v>
      </c>
      <c r="K16" s="33">
        <v>0</v>
      </c>
      <c r="L16" s="33">
        <v>220785</v>
      </c>
      <c r="M16" s="33">
        <v>0</v>
      </c>
      <c r="N16" s="34">
        <v>550547</v>
      </c>
      <c r="O16" s="33">
        <v>132328</v>
      </c>
      <c r="P16" s="35">
        <v>45929</v>
      </c>
      <c r="Q16" s="33">
        <v>132328</v>
      </c>
      <c r="R16" s="35">
        <v>46020</v>
      </c>
      <c r="S16" s="33">
        <v>132328</v>
      </c>
      <c r="T16" s="35">
        <v>46112</v>
      </c>
      <c r="U16" s="33">
        <v>153563</v>
      </c>
      <c r="V16" s="36">
        <v>46195</v>
      </c>
      <c r="W16" s="6">
        <v>0</v>
      </c>
      <c r="X16" s="37" t="s">
        <v>30</v>
      </c>
      <c r="Z16" s="38"/>
      <c r="AA16" s="39"/>
    </row>
    <row r="17" spans="1:27" x14ac:dyDescent="0.25">
      <c r="A17" s="3" t="s">
        <v>51</v>
      </c>
      <c r="B17" s="2" t="s">
        <v>52</v>
      </c>
      <c r="C17" s="3">
        <v>63</v>
      </c>
      <c r="D17" s="33">
        <v>7194608</v>
      </c>
      <c r="E17" s="33">
        <v>3302397</v>
      </c>
      <c r="F17" s="33">
        <v>2830535</v>
      </c>
      <c r="G17" s="33">
        <v>1061676</v>
      </c>
      <c r="H17" s="32">
        <v>3892211</v>
      </c>
      <c r="I17" s="33">
        <v>0</v>
      </c>
      <c r="J17" s="33">
        <v>2122901</v>
      </c>
      <c r="K17" s="33">
        <v>0</v>
      </c>
      <c r="L17" s="33">
        <v>720766</v>
      </c>
      <c r="M17" s="33">
        <v>0</v>
      </c>
      <c r="N17" s="34">
        <v>2843667</v>
      </c>
      <c r="O17" s="33">
        <v>693586</v>
      </c>
      <c r="P17" s="35">
        <v>45929</v>
      </c>
      <c r="Q17" s="33">
        <v>693586</v>
      </c>
      <c r="R17" s="35">
        <v>46020</v>
      </c>
      <c r="S17" s="33">
        <v>693586</v>
      </c>
      <c r="T17" s="35">
        <v>46112</v>
      </c>
      <c r="U17" s="33">
        <v>762909</v>
      </c>
      <c r="V17" s="36">
        <v>46195</v>
      </c>
      <c r="W17" s="6">
        <v>0</v>
      </c>
      <c r="X17" s="37" t="s">
        <v>30</v>
      </c>
      <c r="Z17" s="38"/>
      <c r="AA17" s="39"/>
    </row>
    <row r="18" spans="1:27" x14ac:dyDescent="0.25">
      <c r="A18" s="3" t="s">
        <v>53</v>
      </c>
      <c r="B18" s="2" t="s">
        <v>54</v>
      </c>
      <c r="C18" s="3">
        <v>38</v>
      </c>
      <c r="D18" s="33">
        <v>6214553</v>
      </c>
      <c r="E18" s="33">
        <v>1991922</v>
      </c>
      <c r="F18" s="33">
        <v>3501180</v>
      </c>
      <c r="G18" s="33">
        <v>721451</v>
      </c>
      <c r="H18" s="32">
        <v>4222631</v>
      </c>
      <c r="I18" s="33">
        <v>0</v>
      </c>
      <c r="J18" s="33">
        <v>2625885</v>
      </c>
      <c r="K18" s="33">
        <v>0</v>
      </c>
      <c r="L18" s="33">
        <v>489789</v>
      </c>
      <c r="M18" s="33">
        <v>0</v>
      </c>
      <c r="N18" s="34">
        <v>3115674</v>
      </c>
      <c r="O18" s="33">
        <v>767142</v>
      </c>
      <c r="P18" s="35">
        <v>45929</v>
      </c>
      <c r="Q18" s="33">
        <v>767142</v>
      </c>
      <c r="R18" s="35">
        <v>46020</v>
      </c>
      <c r="S18" s="33">
        <v>767142</v>
      </c>
      <c r="T18" s="35">
        <v>46112</v>
      </c>
      <c r="U18" s="33">
        <v>814248</v>
      </c>
      <c r="V18" s="36">
        <v>46195</v>
      </c>
      <c r="W18" s="6">
        <v>0</v>
      </c>
      <c r="X18" s="37" t="s">
        <v>30</v>
      </c>
      <c r="Z18" s="38"/>
      <c r="AA18" s="39"/>
    </row>
    <row r="19" spans="1:27" x14ac:dyDescent="0.25">
      <c r="A19" s="3" t="s">
        <v>55</v>
      </c>
      <c r="B19" s="2" t="s">
        <v>56</v>
      </c>
      <c r="C19" s="3">
        <v>14</v>
      </c>
      <c r="D19" s="33">
        <v>1602991</v>
      </c>
      <c r="E19" s="33">
        <v>733866</v>
      </c>
      <c r="F19" s="33">
        <v>550514</v>
      </c>
      <c r="G19" s="33">
        <v>318611</v>
      </c>
      <c r="H19" s="32">
        <v>869125</v>
      </c>
      <c r="I19" s="33">
        <v>0</v>
      </c>
      <c r="J19" s="33">
        <v>412886</v>
      </c>
      <c r="K19" s="33">
        <v>0</v>
      </c>
      <c r="L19" s="33">
        <v>216303</v>
      </c>
      <c r="M19" s="33">
        <v>0</v>
      </c>
      <c r="N19" s="34">
        <v>629189</v>
      </c>
      <c r="O19" s="33">
        <v>152096</v>
      </c>
      <c r="P19" s="35">
        <v>45929</v>
      </c>
      <c r="Q19" s="33">
        <v>152096</v>
      </c>
      <c r="R19" s="35">
        <v>46020</v>
      </c>
      <c r="S19" s="33">
        <v>152096</v>
      </c>
      <c r="T19" s="35">
        <v>46112</v>
      </c>
      <c r="U19" s="33">
        <v>172901</v>
      </c>
      <c r="V19" s="36">
        <v>46195</v>
      </c>
      <c r="W19" s="6">
        <v>0</v>
      </c>
      <c r="X19" s="37" t="s">
        <v>30</v>
      </c>
      <c r="Z19" s="38"/>
      <c r="AA19" s="39"/>
    </row>
    <row r="20" spans="1:27" x14ac:dyDescent="0.25">
      <c r="A20" s="3" t="s">
        <v>57</v>
      </c>
      <c r="B20" s="2" t="s">
        <v>58</v>
      </c>
      <c r="C20" s="3">
        <v>32</v>
      </c>
      <c r="D20" s="33">
        <v>4216522</v>
      </c>
      <c r="E20" s="33">
        <v>1651199</v>
      </c>
      <c r="F20" s="33">
        <v>1477712</v>
      </c>
      <c r="G20" s="33">
        <v>1087612</v>
      </c>
      <c r="H20" s="32">
        <v>2565324</v>
      </c>
      <c r="I20" s="33">
        <v>82772</v>
      </c>
      <c r="J20" s="33">
        <v>1046205</v>
      </c>
      <c r="K20" s="33">
        <v>204920</v>
      </c>
      <c r="L20" s="33">
        <v>599255</v>
      </c>
      <c r="M20" s="33">
        <v>0</v>
      </c>
      <c r="N20" s="34">
        <v>1933152</v>
      </c>
      <c r="O20" s="33">
        <v>468879</v>
      </c>
      <c r="P20" s="35">
        <v>45929</v>
      </c>
      <c r="Q20" s="33">
        <v>468879</v>
      </c>
      <c r="R20" s="35">
        <v>46020</v>
      </c>
      <c r="S20" s="33">
        <v>468879</v>
      </c>
      <c r="T20" s="35">
        <v>46112</v>
      </c>
      <c r="U20" s="33">
        <v>526515</v>
      </c>
      <c r="V20" s="36">
        <v>46195</v>
      </c>
      <c r="W20" s="6">
        <v>0</v>
      </c>
      <c r="X20" s="37" t="s">
        <v>30</v>
      </c>
      <c r="Z20" s="38"/>
      <c r="AA20" s="39"/>
    </row>
    <row r="21" spans="1:27" x14ac:dyDescent="0.25">
      <c r="A21" s="3" t="s">
        <v>59</v>
      </c>
      <c r="B21" s="2" t="s">
        <v>60</v>
      </c>
      <c r="C21" s="3">
        <v>128</v>
      </c>
      <c r="D21" s="33">
        <v>14368231</v>
      </c>
      <c r="E21" s="33">
        <v>6631004</v>
      </c>
      <c r="F21" s="33">
        <v>5898210</v>
      </c>
      <c r="G21" s="33">
        <v>1839017</v>
      </c>
      <c r="H21" s="32">
        <v>7737227</v>
      </c>
      <c r="I21" s="33">
        <v>67531</v>
      </c>
      <c r="J21" s="33">
        <v>4373009</v>
      </c>
      <c r="K21" s="33">
        <v>45735</v>
      </c>
      <c r="L21" s="33">
        <v>1217450</v>
      </c>
      <c r="M21" s="33">
        <v>0</v>
      </c>
      <c r="N21" s="34">
        <v>5703725</v>
      </c>
      <c r="O21" s="33">
        <v>1396658</v>
      </c>
      <c r="P21" s="35">
        <v>45929</v>
      </c>
      <c r="Q21" s="33">
        <v>1396658</v>
      </c>
      <c r="R21" s="35">
        <v>46020</v>
      </c>
      <c r="S21" s="33">
        <v>1396658</v>
      </c>
      <c r="T21" s="35">
        <v>46112</v>
      </c>
      <c r="U21" s="33">
        <v>1513751</v>
      </c>
      <c r="V21" s="36">
        <v>46195</v>
      </c>
      <c r="W21" s="6">
        <v>0</v>
      </c>
      <c r="X21" s="37" t="s">
        <v>30</v>
      </c>
      <c r="Z21" s="38"/>
      <c r="AA21" s="39"/>
    </row>
    <row r="22" spans="1:27" x14ac:dyDescent="0.25">
      <c r="A22" s="3" t="s">
        <v>61</v>
      </c>
      <c r="B22" s="2" t="s">
        <v>62</v>
      </c>
      <c r="C22" s="3">
        <v>2</v>
      </c>
      <c r="D22" s="33">
        <v>120303</v>
      </c>
      <c r="E22" s="33">
        <v>104838</v>
      </c>
      <c r="F22" s="33">
        <v>13628</v>
      </c>
      <c r="G22" s="33">
        <v>1837</v>
      </c>
      <c r="H22" s="32">
        <v>15465</v>
      </c>
      <c r="I22" s="33">
        <v>0</v>
      </c>
      <c r="J22" s="33">
        <v>10221</v>
      </c>
      <c r="K22" s="33">
        <v>0</v>
      </c>
      <c r="L22" s="33">
        <v>1247</v>
      </c>
      <c r="M22" s="33">
        <v>0</v>
      </c>
      <c r="N22" s="34">
        <v>11468</v>
      </c>
      <c r="O22" s="33">
        <v>2837</v>
      </c>
      <c r="P22" s="35">
        <v>45929</v>
      </c>
      <c r="Q22" s="33">
        <v>2837</v>
      </c>
      <c r="R22" s="35">
        <v>46020</v>
      </c>
      <c r="S22" s="33">
        <v>2837</v>
      </c>
      <c r="T22" s="35">
        <v>46112</v>
      </c>
      <c r="U22" s="33">
        <v>2957</v>
      </c>
      <c r="V22" s="36">
        <v>46195</v>
      </c>
      <c r="W22" s="6">
        <v>0</v>
      </c>
      <c r="X22" s="37" t="s">
        <v>30</v>
      </c>
      <c r="Z22" s="38"/>
      <c r="AA22" s="39"/>
    </row>
    <row r="23" spans="1:27" x14ac:dyDescent="0.25">
      <c r="A23" s="3" t="s">
        <v>63</v>
      </c>
      <c r="B23" s="2" t="s">
        <v>64</v>
      </c>
      <c r="C23" s="3">
        <v>68</v>
      </c>
      <c r="D23" s="33">
        <v>8788459</v>
      </c>
      <c r="E23" s="33">
        <v>3538283</v>
      </c>
      <c r="F23" s="33">
        <v>4117697</v>
      </c>
      <c r="G23" s="33">
        <v>1132480</v>
      </c>
      <c r="H23" s="32">
        <v>5250177</v>
      </c>
      <c r="I23" s="33">
        <v>157143</v>
      </c>
      <c r="J23" s="33">
        <v>2970416</v>
      </c>
      <c r="K23" s="33">
        <v>80733</v>
      </c>
      <c r="L23" s="33">
        <v>714025</v>
      </c>
      <c r="M23" s="33">
        <v>0</v>
      </c>
      <c r="N23" s="34">
        <v>3922317</v>
      </c>
      <c r="O23" s="33">
        <v>955744</v>
      </c>
      <c r="P23" s="35">
        <v>45929</v>
      </c>
      <c r="Q23" s="33">
        <v>955744</v>
      </c>
      <c r="R23" s="35">
        <v>46020</v>
      </c>
      <c r="S23" s="33">
        <v>971078</v>
      </c>
      <c r="T23" s="35">
        <v>46112</v>
      </c>
      <c r="U23" s="33">
        <v>1039751</v>
      </c>
      <c r="V23" s="36">
        <v>46195</v>
      </c>
      <c r="W23" s="6">
        <v>0</v>
      </c>
      <c r="X23" s="37" t="s">
        <v>30</v>
      </c>
      <c r="Z23" s="38"/>
      <c r="AA23" s="39"/>
    </row>
    <row r="24" spans="1:27" x14ac:dyDescent="0.25">
      <c r="A24" s="3" t="s">
        <v>65</v>
      </c>
      <c r="B24" s="2" t="s">
        <v>66</v>
      </c>
      <c r="C24" s="3">
        <v>52</v>
      </c>
      <c r="D24" s="33">
        <v>8060104</v>
      </c>
      <c r="E24" s="33">
        <v>2673369</v>
      </c>
      <c r="F24" s="33">
        <v>3705915</v>
      </c>
      <c r="G24" s="33">
        <v>1680820</v>
      </c>
      <c r="H24" s="32">
        <v>5386735</v>
      </c>
      <c r="I24" s="33">
        <v>54273</v>
      </c>
      <c r="J24" s="33">
        <v>2738732</v>
      </c>
      <c r="K24" s="33">
        <v>0</v>
      </c>
      <c r="L24" s="33">
        <v>1141100</v>
      </c>
      <c r="M24" s="33">
        <v>0</v>
      </c>
      <c r="N24" s="34">
        <v>3934105</v>
      </c>
      <c r="O24" s="33">
        <v>956089</v>
      </c>
      <c r="P24" s="35">
        <v>45929</v>
      </c>
      <c r="Q24" s="33">
        <v>956089</v>
      </c>
      <c r="R24" s="35">
        <v>46020</v>
      </c>
      <c r="S24" s="33">
        <v>956089</v>
      </c>
      <c r="T24" s="35">
        <v>46112</v>
      </c>
      <c r="U24" s="33">
        <v>1065838</v>
      </c>
      <c r="V24" s="36">
        <v>46195</v>
      </c>
      <c r="W24" s="6">
        <v>0</v>
      </c>
      <c r="X24" s="37" t="s">
        <v>30</v>
      </c>
      <c r="Z24" s="38"/>
      <c r="AA24" s="39"/>
    </row>
    <row r="25" spans="1:27" x14ac:dyDescent="0.25">
      <c r="A25" s="3" t="s">
        <v>67</v>
      </c>
      <c r="B25" s="2" t="s">
        <v>68</v>
      </c>
      <c r="C25" s="3">
        <v>482</v>
      </c>
      <c r="D25" s="33">
        <v>64831615</v>
      </c>
      <c r="E25" s="33">
        <v>24916498</v>
      </c>
      <c r="F25" s="33">
        <v>31145675</v>
      </c>
      <c r="G25" s="33">
        <v>8769442</v>
      </c>
      <c r="H25" s="32">
        <v>39915117</v>
      </c>
      <c r="I25" s="33">
        <v>2932007</v>
      </c>
      <c r="J25" s="33">
        <v>21160251</v>
      </c>
      <c r="K25" s="33">
        <v>723434</v>
      </c>
      <c r="L25" s="33">
        <v>5462392</v>
      </c>
      <c r="M25" s="33">
        <v>0</v>
      </c>
      <c r="N25" s="34">
        <v>30278084</v>
      </c>
      <c r="O25" s="33">
        <v>7438181</v>
      </c>
      <c r="P25" s="35">
        <v>45929</v>
      </c>
      <c r="Q25" s="33">
        <v>7438181</v>
      </c>
      <c r="R25" s="35">
        <v>46020</v>
      </c>
      <c r="S25" s="33">
        <v>7438181</v>
      </c>
      <c r="T25" s="35">
        <v>46112</v>
      </c>
      <c r="U25" s="33">
        <v>7963541</v>
      </c>
      <c r="V25" s="36">
        <v>46195</v>
      </c>
      <c r="W25" s="6">
        <v>0</v>
      </c>
      <c r="X25" s="37" t="s">
        <v>30</v>
      </c>
      <c r="Z25" s="38"/>
      <c r="AA25" s="39"/>
    </row>
    <row r="26" spans="1:27" x14ac:dyDescent="0.25">
      <c r="A26" s="3" t="s">
        <v>69</v>
      </c>
      <c r="B26" s="2" t="s">
        <v>70</v>
      </c>
      <c r="C26" s="3">
        <v>13</v>
      </c>
      <c r="D26" s="33">
        <v>2959067</v>
      </c>
      <c r="E26" s="33">
        <v>655238</v>
      </c>
      <c r="F26" s="33">
        <v>1920200</v>
      </c>
      <c r="G26" s="33">
        <v>383629</v>
      </c>
      <c r="H26" s="32">
        <v>2303829</v>
      </c>
      <c r="I26" s="33">
        <v>0</v>
      </c>
      <c r="J26" s="33">
        <v>1440150</v>
      </c>
      <c r="K26" s="33">
        <v>0</v>
      </c>
      <c r="L26" s="33">
        <v>260444</v>
      </c>
      <c r="M26" s="33">
        <v>0</v>
      </c>
      <c r="N26" s="34">
        <v>1700594</v>
      </c>
      <c r="O26" s="33">
        <v>418886</v>
      </c>
      <c r="P26" s="35">
        <v>45929</v>
      </c>
      <c r="Q26" s="33">
        <v>418886</v>
      </c>
      <c r="R26" s="35">
        <v>46020</v>
      </c>
      <c r="S26" s="33">
        <v>418886</v>
      </c>
      <c r="T26" s="35">
        <v>46112</v>
      </c>
      <c r="U26" s="33">
        <v>443936</v>
      </c>
      <c r="V26" s="36">
        <v>46195</v>
      </c>
      <c r="W26" s="6">
        <v>0</v>
      </c>
      <c r="X26" s="37" t="s">
        <v>30</v>
      </c>
      <c r="Z26" s="38"/>
      <c r="AA26" s="39"/>
    </row>
    <row r="27" spans="1:27" x14ac:dyDescent="0.25">
      <c r="A27" s="3" t="s">
        <v>71</v>
      </c>
      <c r="B27" s="2" t="s">
        <v>72</v>
      </c>
      <c r="C27" s="3">
        <v>7</v>
      </c>
      <c r="D27" s="33">
        <v>1246080</v>
      </c>
      <c r="E27" s="33">
        <v>366933</v>
      </c>
      <c r="F27" s="33">
        <v>630133</v>
      </c>
      <c r="G27" s="33">
        <v>249015</v>
      </c>
      <c r="H27" s="32">
        <v>879148</v>
      </c>
      <c r="I27" s="33">
        <v>0</v>
      </c>
      <c r="J27" s="33">
        <v>472600</v>
      </c>
      <c r="K27" s="33">
        <v>0</v>
      </c>
      <c r="L27" s="33">
        <v>169055</v>
      </c>
      <c r="M27" s="33">
        <v>0</v>
      </c>
      <c r="N27" s="34">
        <v>641655</v>
      </c>
      <c r="O27" s="33">
        <v>156349</v>
      </c>
      <c r="P27" s="35">
        <v>45929</v>
      </c>
      <c r="Q27" s="33">
        <v>156349</v>
      </c>
      <c r="R27" s="35">
        <v>46020</v>
      </c>
      <c r="S27" s="33">
        <v>156349</v>
      </c>
      <c r="T27" s="35">
        <v>46112</v>
      </c>
      <c r="U27" s="33">
        <v>172608</v>
      </c>
      <c r="V27" s="36">
        <v>46195</v>
      </c>
      <c r="W27" s="6">
        <v>0</v>
      </c>
      <c r="X27" s="37" t="s">
        <v>30</v>
      </c>
      <c r="Z27" s="38"/>
      <c r="AA27" s="39"/>
    </row>
    <row r="28" spans="1:27" x14ac:dyDescent="0.25">
      <c r="A28" s="3" t="s">
        <v>73</v>
      </c>
      <c r="B28" s="2" t="s">
        <v>74</v>
      </c>
      <c r="C28" s="3">
        <v>62</v>
      </c>
      <c r="D28" s="33">
        <v>7916971</v>
      </c>
      <c r="E28" s="33">
        <v>3197559</v>
      </c>
      <c r="F28" s="33">
        <v>3613262</v>
      </c>
      <c r="G28" s="33">
        <v>1106149</v>
      </c>
      <c r="H28" s="32">
        <v>4719411</v>
      </c>
      <c r="I28" s="33">
        <v>0</v>
      </c>
      <c r="J28" s="33">
        <v>2709947</v>
      </c>
      <c r="K28" s="33">
        <v>0</v>
      </c>
      <c r="L28" s="33">
        <v>750959</v>
      </c>
      <c r="M28" s="33">
        <v>0</v>
      </c>
      <c r="N28" s="34">
        <v>3460906</v>
      </c>
      <c r="O28" s="33">
        <v>847170</v>
      </c>
      <c r="P28" s="35">
        <v>45929</v>
      </c>
      <c r="Q28" s="33">
        <v>847170</v>
      </c>
      <c r="R28" s="35">
        <v>46020</v>
      </c>
      <c r="S28" s="33">
        <v>847170</v>
      </c>
      <c r="T28" s="35">
        <v>46112</v>
      </c>
      <c r="U28" s="33">
        <v>919396</v>
      </c>
      <c r="V28" s="36">
        <v>46195</v>
      </c>
      <c r="W28" s="6">
        <v>0</v>
      </c>
      <c r="X28" s="37" t="s">
        <v>30</v>
      </c>
      <c r="Z28" s="38"/>
      <c r="AA28" s="39"/>
    </row>
    <row r="29" spans="1:27" x14ac:dyDescent="0.25">
      <c r="A29" s="3" t="s">
        <v>75</v>
      </c>
      <c r="B29" s="2" t="s">
        <v>76</v>
      </c>
      <c r="C29" s="3">
        <v>1</v>
      </c>
      <c r="D29" s="33">
        <v>121647</v>
      </c>
      <c r="E29" s="33">
        <v>52419</v>
      </c>
      <c r="F29" s="33">
        <v>40271</v>
      </c>
      <c r="G29" s="33">
        <v>28957</v>
      </c>
      <c r="H29" s="32">
        <v>69228</v>
      </c>
      <c r="I29" s="33">
        <v>0</v>
      </c>
      <c r="J29" s="33">
        <v>30203</v>
      </c>
      <c r="K29" s="33">
        <v>0</v>
      </c>
      <c r="L29" s="33">
        <v>19659</v>
      </c>
      <c r="M29" s="33">
        <v>-3734</v>
      </c>
      <c r="N29" s="34">
        <v>46128</v>
      </c>
      <c r="O29" s="33">
        <v>13763</v>
      </c>
      <c r="P29" s="35">
        <v>45929</v>
      </c>
      <c r="Q29" s="33">
        <v>13763</v>
      </c>
      <c r="R29" s="35">
        <v>46030</v>
      </c>
      <c r="S29" s="33">
        <v>8356</v>
      </c>
      <c r="T29" s="35">
        <v>46112</v>
      </c>
      <c r="U29" s="33">
        <v>10246</v>
      </c>
      <c r="V29" s="36">
        <v>46195</v>
      </c>
      <c r="W29" s="6">
        <v>43202</v>
      </c>
      <c r="X29" s="40" t="s">
        <v>77</v>
      </c>
      <c r="Z29" s="38"/>
      <c r="AA29" s="39"/>
    </row>
    <row r="30" spans="1:27" x14ac:dyDescent="0.25">
      <c r="A30" s="3" t="s">
        <v>78</v>
      </c>
      <c r="B30" s="2" t="s">
        <v>79</v>
      </c>
      <c r="C30" s="3">
        <v>3</v>
      </c>
      <c r="D30" s="33">
        <v>437329</v>
      </c>
      <c r="E30" s="33">
        <v>157257</v>
      </c>
      <c r="F30" s="33">
        <v>257342</v>
      </c>
      <c r="G30" s="33">
        <v>22730</v>
      </c>
      <c r="H30" s="32">
        <v>280072</v>
      </c>
      <c r="I30" s="33">
        <v>0</v>
      </c>
      <c r="J30" s="33">
        <v>193007</v>
      </c>
      <c r="K30" s="33">
        <v>0</v>
      </c>
      <c r="L30" s="33">
        <v>15431</v>
      </c>
      <c r="M30" s="33">
        <v>0</v>
      </c>
      <c r="N30" s="34">
        <v>208438</v>
      </c>
      <c r="O30" s="33">
        <v>51739</v>
      </c>
      <c r="P30" s="35">
        <v>45929</v>
      </c>
      <c r="Q30" s="33">
        <v>51739</v>
      </c>
      <c r="R30" s="35">
        <v>46020</v>
      </c>
      <c r="S30" s="33">
        <v>51739</v>
      </c>
      <c r="T30" s="35">
        <v>46112</v>
      </c>
      <c r="U30" s="33">
        <v>53221</v>
      </c>
      <c r="V30" s="36">
        <v>46195</v>
      </c>
      <c r="W30" s="6">
        <v>32927</v>
      </c>
      <c r="X30" s="40" t="s">
        <v>77</v>
      </c>
      <c r="Z30" s="38"/>
      <c r="AA30" s="39"/>
    </row>
    <row r="31" spans="1:27" x14ac:dyDescent="0.25">
      <c r="A31" s="3" t="s">
        <v>80</v>
      </c>
      <c r="B31" s="2" t="s">
        <v>81</v>
      </c>
      <c r="C31" s="3">
        <v>115</v>
      </c>
      <c r="D31" s="33">
        <v>17279184</v>
      </c>
      <c r="E31" s="33">
        <v>5844719</v>
      </c>
      <c r="F31" s="33">
        <v>8222090</v>
      </c>
      <c r="G31" s="33">
        <v>3212375</v>
      </c>
      <c r="H31" s="32">
        <v>11434465</v>
      </c>
      <c r="I31" s="33">
        <v>337102</v>
      </c>
      <c r="J31" s="33">
        <v>5913741</v>
      </c>
      <c r="K31" s="33">
        <v>198155</v>
      </c>
      <c r="L31" s="33">
        <v>2046338</v>
      </c>
      <c r="M31" s="33">
        <v>0</v>
      </c>
      <c r="N31" s="34">
        <v>8495336</v>
      </c>
      <c r="O31" s="33">
        <v>2074631</v>
      </c>
      <c r="P31" s="35">
        <v>45929</v>
      </c>
      <c r="Q31" s="33">
        <v>2074631</v>
      </c>
      <c r="R31" s="35">
        <v>46020</v>
      </c>
      <c r="S31" s="33">
        <v>2074631</v>
      </c>
      <c r="T31" s="35">
        <v>46112</v>
      </c>
      <c r="U31" s="33">
        <v>2271443</v>
      </c>
      <c r="V31" s="36">
        <v>46195</v>
      </c>
      <c r="W31" s="6">
        <v>0</v>
      </c>
      <c r="X31" s="40" t="s">
        <v>30</v>
      </c>
      <c r="Z31" s="38"/>
      <c r="AA31" s="39"/>
    </row>
    <row r="32" spans="1:27" x14ac:dyDescent="0.25">
      <c r="A32" s="3" t="s">
        <v>82</v>
      </c>
      <c r="B32" s="2" t="s">
        <v>83</v>
      </c>
      <c r="C32" s="3">
        <v>1</v>
      </c>
      <c r="D32" s="33">
        <v>92453</v>
      </c>
      <c r="E32" s="33">
        <v>52419</v>
      </c>
      <c r="F32" s="33">
        <v>8528</v>
      </c>
      <c r="G32" s="33">
        <v>31506</v>
      </c>
      <c r="H32" s="32">
        <v>40034</v>
      </c>
      <c r="I32" s="33">
        <v>0</v>
      </c>
      <c r="J32" s="33">
        <v>6396</v>
      </c>
      <c r="K32" s="33">
        <v>0</v>
      </c>
      <c r="L32" s="33">
        <v>21389</v>
      </c>
      <c r="M32" s="33">
        <v>0</v>
      </c>
      <c r="N32" s="34">
        <v>27785</v>
      </c>
      <c r="O32" s="33">
        <v>6432</v>
      </c>
      <c r="P32" s="35">
        <v>45929</v>
      </c>
      <c r="Q32" s="33">
        <v>6432</v>
      </c>
      <c r="R32" s="35">
        <v>46020</v>
      </c>
      <c r="S32" s="33">
        <v>6432</v>
      </c>
      <c r="T32" s="35">
        <v>46112</v>
      </c>
      <c r="U32" s="33">
        <v>8489</v>
      </c>
      <c r="V32" s="36">
        <v>46195</v>
      </c>
      <c r="W32" s="6">
        <v>0</v>
      </c>
      <c r="X32" s="40" t="s">
        <v>30</v>
      </c>
      <c r="Z32" s="38"/>
      <c r="AA32" s="39"/>
    </row>
    <row r="33" spans="1:27" x14ac:dyDescent="0.25">
      <c r="A33" s="3" t="s">
        <v>84</v>
      </c>
      <c r="B33" s="2" t="s">
        <v>85</v>
      </c>
      <c r="C33" s="3">
        <v>72</v>
      </c>
      <c r="D33" s="33">
        <v>10888938</v>
      </c>
      <c r="E33" s="33">
        <v>3660594</v>
      </c>
      <c r="F33" s="33">
        <v>4644978</v>
      </c>
      <c r="G33" s="33">
        <v>2583366</v>
      </c>
      <c r="H33" s="32">
        <v>7228344</v>
      </c>
      <c r="I33" s="33">
        <v>0</v>
      </c>
      <c r="J33" s="33">
        <v>3483734</v>
      </c>
      <c r="K33" s="33">
        <v>0</v>
      </c>
      <c r="L33" s="33">
        <v>1753833</v>
      </c>
      <c r="M33" s="33">
        <v>0</v>
      </c>
      <c r="N33" s="34">
        <v>5237567</v>
      </c>
      <c r="O33" s="33">
        <v>1267222</v>
      </c>
      <c r="P33" s="35">
        <v>45929</v>
      </c>
      <c r="Q33" s="33">
        <v>1267222</v>
      </c>
      <c r="R33" s="35">
        <v>46020</v>
      </c>
      <c r="S33" s="33">
        <v>1267222</v>
      </c>
      <c r="T33" s="35">
        <v>46112</v>
      </c>
      <c r="U33" s="33">
        <v>1435901</v>
      </c>
      <c r="V33" s="36">
        <v>46195</v>
      </c>
      <c r="W33" s="6">
        <v>0</v>
      </c>
      <c r="X33" s="40" t="s">
        <v>30</v>
      </c>
      <c r="Z33" s="38"/>
      <c r="AA33" s="39"/>
    </row>
    <row r="34" spans="1:27" x14ac:dyDescent="0.25">
      <c r="A34" s="3" t="s">
        <v>86</v>
      </c>
      <c r="B34" s="2" t="s">
        <v>87</v>
      </c>
      <c r="C34" s="3">
        <v>78</v>
      </c>
      <c r="D34" s="33">
        <v>11977221</v>
      </c>
      <c r="E34" s="33">
        <v>4088682</v>
      </c>
      <c r="F34" s="33">
        <v>6722115</v>
      </c>
      <c r="G34" s="33">
        <v>1166424</v>
      </c>
      <c r="H34" s="32">
        <v>7888539</v>
      </c>
      <c r="I34" s="33">
        <v>0</v>
      </c>
      <c r="J34" s="33">
        <v>5041586</v>
      </c>
      <c r="K34" s="33">
        <v>0</v>
      </c>
      <c r="L34" s="33">
        <v>791879</v>
      </c>
      <c r="M34" s="33">
        <v>0</v>
      </c>
      <c r="N34" s="34">
        <v>5833465</v>
      </c>
      <c r="O34" s="33">
        <v>1439326</v>
      </c>
      <c r="P34" s="35">
        <v>45929</v>
      </c>
      <c r="Q34" s="33">
        <v>1439326</v>
      </c>
      <c r="R34" s="35">
        <v>46020</v>
      </c>
      <c r="S34" s="33">
        <v>1439326</v>
      </c>
      <c r="T34" s="35">
        <v>46112</v>
      </c>
      <c r="U34" s="33">
        <v>1515487</v>
      </c>
      <c r="V34" s="36">
        <v>46195</v>
      </c>
      <c r="W34" s="6">
        <v>0</v>
      </c>
      <c r="X34" s="40" t="s">
        <v>30</v>
      </c>
      <c r="Z34" s="38"/>
      <c r="AA34" s="39"/>
    </row>
    <row r="35" spans="1:27" x14ac:dyDescent="0.25">
      <c r="A35" s="3" t="s">
        <v>88</v>
      </c>
      <c r="B35" s="2" t="s">
        <v>89</v>
      </c>
      <c r="C35" s="3">
        <v>115</v>
      </c>
      <c r="D35" s="33">
        <v>18597661</v>
      </c>
      <c r="E35" s="33">
        <v>5975766</v>
      </c>
      <c r="F35" s="33">
        <v>9646437</v>
      </c>
      <c r="G35" s="33">
        <v>2975457</v>
      </c>
      <c r="H35" s="32">
        <v>12621894</v>
      </c>
      <c r="I35" s="33">
        <v>0</v>
      </c>
      <c r="J35" s="33">
        <v>7234828</v>
      </c>
      <c r="K35" s="33">
        <v>0</v>
      </c>
      <c r="L35" s="33">
        <v>2020022</v>
      </c>
      <c r="M35" s="33">
        <v>0</v>
      </c>
      <c r="N35" s="34">
        <v>9254850</v>
      </c>
      <c r="O35" s="33">
        <v>2265142</v>
      </c>
      <c r="P35" s="35">
        <v>45929</v>
      </c>
      <c r="Q35" s="33">
        <v>2265142</v>
      </c>
      <c r="R35" s="35">
        <v>46020</v>
      </c>
      <c r="S35" s="33">
        <v>2265142</v>
      </c>
      <c r="T35" s="35">
        <v>46112</v>
      </c>
      <c r="U35" s="33">
        <v>2459424</v>
      </c>
      <c r="V35" s="36">
        <v>46195</v>
      </c>
      <c r="W35" s="6">
        <v>0</v>
      </c>
      <c r="X35" s="40" t="s">
        <v>30</v>
      </c>
      <c r="Z35" s="38"/>
      <c r="AA35" s="39"/>
    </row>
    <row r="36" spans="1:27" x14ac:dyDescent="0.25">
      <c r="A36" s="3" t="s">
        <v>90</v>
      </c>
      <c r="B36" s="2" t="s">
        <v>91</v>
      </c>
      <c r="C36" s="3">
        <v>58</v>
      </c>
      <c r="D36" s="33">
        <v>9812659</v>
      </c>
      <c r="E36" s="33">
        <v>3040302</v>
      </c>
      <c r="F36" s="33">
        <v>4803494</v>
      </c>
      <c r="G36" s="33">
        <v>1968863</v>
      </c>
      <c r="H36" s="32">
        <v>6772357</v>
      </c>
      <c r="I36" s="33">
        <v>0</v>
      </c>
      <c r="J36" s="33">
        <v>3602621</v>
      </c>
      <c r="K36" s="33">
        <v>0</v>
      </c>
      <c r="L36" s="33">
        <v>1336651</v>
      </c>
      <c r="M36" s="33">
        <v>0</v>
      </c>
      <c r="N36" s="34">
        <v>4939272</v>
      </c>
      <c r="O36" s="33">
        <v>1202679</v>
      </c>
      <c r="P36" s="35">
        <v>45929</v>
      </c>
      <c r="Q36" s="33">
        <v>1202679</v>
      </c>
      <c r="R36" s="35">
        <v>46030</v>
      </c>
      <c r="S36" s="33">
        <v>1202679</v>
      </c>
      <c r="T36" s="35">
        <v>46112</v>
      </c>
      <c r="U36" s="33">
        <v>1331235</v>
      </c>
      <c r="V36" s="36">
        <v>46195</v>
      </c>
      <c r="W36" s="6">
        <v>0</v>
      </c>
      <c r="X36" s="40" t="s">
        <v>30</v>
      </c>
      <c r="Z36" s="38"/>
      <c r="AA36" s="39"/>
    </row>
    <row r="37" spans="1:27" x14ac:dyDescent="0.25">
      <c r="A37" s="3" t="s">
        <v>92</v>
      </c>
      <c r="B37" s="2" t="s">
        <v>93</v>
      </c>
      <c r="C37" s="3">
        <v>7</v>
      </c>
      <c r="D37" s="33">
        <v>801255</v>
      </c>
      <c r="E37" s="33">
        <v>366933</v>
      </c>
      <c r="F37" s="33">
        <v>296124</v>
      </c>
      <c r="G37" s="33">
        <v>138198</v>
      </c>
      <c r="H37" s="32">
        <v>434322</v>
      </c>
      <c r="I37" s="33">
        <v>0</v>
      </c>
      <c r="J37" s="33">
        <v>222093</v>
      </c>
      <c r="K37" s="33">
        <v>0</v>
      </c>
      <c r="L37" s="33">
        <v>93822</v>
      </c>
      <c r="M37" s="33">
        <v>0</v>
      </c>
      <c r="N37" s="34">
        <v>315915</v>
      </c>
      <c r="O37" s="33">
        <v>76723</v>
      </c>
      <c r="P37" s="35">
        <v>45929</v>
      </c>
      <c r="Q37" s="33">
        <v>76723</v>
      </c>
      <c r="R37" s="35">
        <v>46020</v>
      </c>
      <c r="S37" s="33">
        <v>76723</v>
      </c>
      <c r="T37" s="35">
        <v>46112</v>
      </c>
      <c r="U37" s="33">
        <v>85746</v>
      </c>
      <c r="V37" s="36">
        <v>46195</v>
      </c>
      <c r="W37" s="6">
        <v>0</v>
      </c>
      <c r="X37" s="40" t="s">
        <v>30</v>
      </c>
      <c r="Z37" s="38"/>
      <c r="AA37" s="39"/>
    </row>
    <row r="38" spans="1:27" x14ac:dyDescent="0.25">
      <c r="A38" s="3" t="s">
        <v>94</v>
      </c>
      <c r="B38" s="2" t="s">
        <v>95</v>
      </c>
      <c r="C38" s="3">
        <v>18</v>
      </c>
      <c r="D38" s="33">
        <v>2548403</v>
      </c>
      <c r="E38" s="33">
        <v>943542</v>
      </c>
      <c r="F38" s="33">
        <v>1227794</v>
      </c>
      <c r="G38" s="33">
        <v>377067</v>
      </c>
      <c r="H38" s="32">
        <v>1604861</v>
      </c>
      <c r="I38" s="33">
        <v>17409</v>
      </c>
      <c r="J38" s="33">
        <v>907789</v>
      </c>
      <c r="K38" s="33">
        <v>0</v>
      </c>
      <c r="L38" s="33">
        <v>255989</v>
      </c>
      <c r="M38" s="33">
        <v>0</v>
      </c>
      <c r="N38" s="34">
        <v>1181187</v>
      </c>
      <c r="O38" s="33">
        <v>289142</v>
      </c>
      <c r="P38" s="35">
        <v>45929</v>
      </c>
      <c r="Q38" s="33">
        <v>289142</v>
      </c>
      <c r="R38" s="35">
        <v>46020</v>
      </c>
      <c r="S38" s="33">
        <v>289142</v>
      </c>
      <c r="T38" s="35">
        <v>46112</v>
      </c>
      <c r="U38" s="33">
        <v>313761</v>
      </c>
      <c r="V38" s="36">
        <v>46195</v>
      </c>
      <c r="W38" s="6">
        <v>0</v>
      </c>
      <c r="X38" s="40" t="s">
        <v>30</v>
      </c>
      <c r="Z38" s="38"/>
      <c r="AA38" s="39"/>
    </row>
    <row r="39" spans="1:27" x14ac:dyDescent="0.25">
      <c r="A39" s="3" t="s">
        <v>96</v>
      </c>
      <c r="B39" s="2" t="s">
        <v>97</v>
      </c>
      <c r="C39" s="3">
        <v>89</v>
      </c>
      <c r="D39" s="33">
        <v>9795351</v>
      </c>
      <c r="E39" s="33">
        <v>4534244</v>
      </c>
      <c r="F39" s="33">
        <v>4120253</v>
      </c>
      <c r="G39" s="33">
        <v>1140854</v>
      </c>
      <c r="H39" s="32">
        <v>5261107</v>
      </c>
      <c r="I39" s="33">
        <v>0</v>
      </c>
      <c r="J39" s="33">
        <v>3090190</v>
      </c>
      <c r="K39" s="33">
        <v>0</v>
      </c>
      <c r="L39" s="33">
        <v>774520</v>
      </c>
      <c r="M39" s="33">
        <v>0</v>
      </c>
      <c r="N39" s="34">
        <v>3864710</v>
      </c>
      <c r="O39" s="33">
        <v>947555</v>
      </c>
      <c r="P39" s="35">
        <v>45929</v>
      </c>
      <c r="Q39" s="33">
        <v>947555</v>
      </c>
      <c r="R39" s="35">
        <v>46020</v>
      </c>
      <c r="S39" s="33">
        <v>947555</v>
      </c>
      <c r="T39" s="35">
        <v>46112</v>
      </c>
      <c r="U39" s="33">
        <v>1022045</v>
      </c>
      <c r="V39" s="36">
        <v>46195</v>
      </c>
      <c r="W39" s="6">
        <v>0</v>
      </c>
      <c r="X39" s="40" t="s">
        <v>30</v>
      </c>
      <c r="Z39" s="38"/>
      <c r="AA39" s="39"/>
    </row>
    <row r="40" spans="1:27" x14ac:dyDescent="0.25">
      <c r="A40" s="3" t="s">
        <v>98</v>
      </c>
      <c r="B40" s="2" t="s">
        <v>99</v>
      </c>
      <c r="C40" s="3">
        <v>151</v>
      </c>
      <c r="D40" s="33">
        <v>18452813</v>
      </c>
      <c r="E40" s="33">
        <v>7915269</v>
      </c>
      <c r="F40" s="33">
        <v>7758715</v>
      </c>
      <c r="G40" s="33">
        <v>2778829</v>
      </c>
      <c r="H40" s="32">
        <v>10537544</v>
      </c>
      <c r="I40" s="33">
        <v>221151</v>
      </c>
      <c r="J40" s="33">
        <v>5653173</v>
      </c>
      <c r="K40" s="33">
        <v>22550</v>
      </c>
      <c r="L40" s="33">
        <v>1871223</v>
      </c>
      <c r="M40" s="33">
        <v>0</v>
      </c>
      <c r="N40" s="34">
        <v>7768097</v>
      </c>
      <c r="O40" s="33">
        <v>1897032</v>
      </c>
      <c r="P40" s="35">
        <v>45929</v>
      </c>
      <c r="Q40" s="33">
        <v>1897032</v>
      </c>
      <c r="R40" s="35">
        <v>46020</v>
      </c>
      <c r="S40" s="33">
        <v>1897032</v>
      </c>
      <c r="T40" s="35">
        <v>46112</v>
      </c>
      <c r="U40" s="33">
        <v>2077001</v>
      </c>
      <c r="V40" s="36">
        <v>46195</v>
      </c>
      <c r="W40" s="6">
        <v>0</v>
      </c>
      <c r="X40" s="40" t="s">
        <v>30</v>
      </c>
      <c r="Z40" s="38"/>
      <c r="AA40" s="39"/>
    </row>
    <row r="41" spans="1:27" x14ac:dyDescent="0.25">
      <c r="A41" s="3" t="s">
        <v>100</v>
      </c>
      <c r="B41" s="2" t="s">
        <v>101</v>
      </c>
      <c r="C41" s="3">
        <v>43</v>
      </c>
      <c r="D41" s="33">
        <v>5261500</v>
      </c>
      <c r="E41" s="33">
        <v>2175389</v>
      </c>
      <c r="F41" s="33">
        <v>2209211</v>
      </c>
      <c r="G41" s="33">
        <v>876900</v>
      </c>
      <c r="H41" s="32">
        <v>3086111</v>
      </c>
      <c r="I41" s="33">
        <v>0</v>
      </c>
      <c r="J41" s="33">
        <v>1656908</v>
      </c>
      <c r="K41" s="33">
        <v>0</v>
      </c>
      <c r="L41" s="33">
        <v>595323</v>
      </c>
      <c r="M41" s="33">
        <v>0</v>
      </c>
      <c r="N41" s="34">
        <v>2252231</v>
      </c>
      <c r="O41" s="33">
        <v>548744</v>
      </c>
      <c r="P41" s="35">
        <v>45929</v>
      </c>
      <c r="Q41" s="33">
        <v>548744</v>
      </c>
      <c r="R41" s="35">
        <v>46020</v>
      </c>
      <c r="S41" s="33">
        <v>548744</v>
      </c>
      <c r="T41" s="35">
        <v>46112</v>
      </c>
      <c r="U41" s="33">
        <v>605999</v>
      </c>
      <c r="V41" s="36">
        <v>46195</v>
      </c>
      <c r="W41" s="6">
        <v>0</v>
      </c>
      <c r="X41" s="40" t="s">
        <v>30</v>
      </c>
      <c r="Z41" s="38"/>
      <c r="AA41" s="39"/>
    </row>
    <row r="42" spans="1:27" x14ac:dyDescent="0.25">
      <c r="A42" s="3" t="s">
        <v>102</v>
      </c>
      <c r="B42" s="2" t="s">
        <v>103</v>
      </c>
      <c r="C42" s="3">
        <v>1</v>
      </c>
      <c r="D42" s="33">
        <v>341760</v>
      </c>
      <c r="E42" s="33">
        <v>52419</v>
      </c>
      <c r="F42" s="33">
        <v>289341</v>
      </c>
      <c r="G42" s="33">
        <v>0</v>
      </c>
      <c r="H42" s="32">
        <v>289341</v>
      </c>
      <c r="I42" s="33">
        <v>0</v>
      </c>
      <c r="J42" s="33">
        <v>217006</v>
      </c>
      <c r="K42" s="33">
        <v>0</v>
      </c>
      <c r="L42" s="33">
        <v>0</v>
      </c>
      <c r="M42" s="33">
        <v>0</v>
      </c>
      <c r="N42" s="34">
        <v>217006</v>
      </c>
      <c r="O42" s="33">
        <v>54252</v>
      </c>
      <c r="P42" s="35">
        <v>45929</v>
      </c>
      <c r="Q42" s="33">
        <v>54252</v>
      </c>
      <c r="R42" s="35">
        <v>46020</v>
      </c>
      <c r="S42" s="33">
        <v>54252</v>
      </c>
      <c r="T42" s="35">
        <v>46112</v>
      </c>
      <c r="U42" s="33">
        <v>54250</v>
      </c>
      <c r="V42" s="36">
        <v>46195</v>
      </c>
      <c r="W42" s="6">
        <v>0</v>
      </c>
      <c r="X42" s="40" t="s">
        <v>30</v>
      </c>
      <c r="Z42" s="38"/>
      <c r="AA42" s="39"/>
    </row>
    <row r="43" spans="1:27" x14ac:dyDescent="0.25">
      <c r="A43" s="3" t="s">
        <v>104</v>
      </c>
      <c r="B43" s="2" t="s">
        <v>105</v>
      </c>
      <c r="C43" s="3">
        <v>35</v>
      </c>
      <c r="D43" s="33">
        <v>4405982</v>
      </c>
      <c r="E43" s="33">
        <v>1834665</v>
      </c>
      <c r="F43" s="33">
        <v>1720819</v>
      </c>
      <c r="G43" s="33">
        <v>850498</v>
      </c>
      <c r="H43" s="32">
        <v>2571317</v>
      </c>
      <c r="I43" s="33">
        <v>0</v>
      </c>
      <c r="J43" s="33">
        <v>1290614</v>
      </c>
      <c r="K43" s="33">
        <v>0</v>
      </c>
      <c r="L43" s="33">
        <v>577399</v>
      </c>
      <c r="M43" s="33">
        <v>0</v>
      </c>
      <c r="N43" s="34">
        <v>1868013</v>
      </c>
      <c r="O43" s="33">
        <v>453120</v>
      </c>
      <c r="P43" s="35">
        <v>45929</v>
      </c>
      <c r="Q43" s="33">
        <v>453120</v>
      </c>
      <c r="R43" s="35">
        <v>46020</v>
      </c>
      <c r="S43" s="33">
        <v>453120</v>
      </c>
      <c r="T43" s="35">
        <v>46112</v>
      </c>
      <c r="U43" s="33">
        <v>508653</v>
      </c>
      <c r="V43" s="36">
        <v>46195</v>
      </c>
      <c r="W43" s="6">
        <v>0</v>
      </c>
      <c r="X43" s="40" t="s">
        <v>30</v>
      </c>
      <c r="Z43" s="38"/>
      <c r="AA43" s="39"/>
    </row>
    <row r="44" spans="1:27" x14ac:dyDescent="0.25">
      <c r="A44" s="3" t="s">
        <v>106</v>
      </c>
      <c r="B44" s="2" t="s">
        <v>107</v>
      </c>
      <c r="C44" s="3">
        <v>15</v>
      </c>
      <c r="D44" s="33">
        <v>2589361</v>
      </c>
      <c r="E44" s="33">
        <v>760076</v>
      </c>
      <c r="F44" s="33">
        <v>1389972</v>
      </c>
      <c r="G44" s="33">
        <v>439314</v>
      </c>
      <c r="H44" s="32">
        <v>1829286</v>
      </c>
      <c r="I44" s="33">
        <v>0</v>
      </c>
      <c r="J44" s="33">
        <v>1042479</v>
      </c>
      <c r="K44" s="33">
        <v>0</v>
      </c>
      <c r="L44" s="33">
        <v>298248</v>
      </c>
      <c r="M44" s="33">
        <v>0</v>
      </c>
      <c r="N44" s="34">
        <v>1340727</v>
      </c>
      <c r="O44" s="33">
        <v>324480</v>
      </c>
      <c r="P44" s="35">
        <v>45929</v>
      </c>
      <c r="Q44" s="33">
        <v>324480</v>
      </c>
      <c r="R44" s="35">
        <v>46020</v>
      </c>
      <c r="S44" s="33">
        <v>331541</v>
      </c>
      <c r="T44" s="35">
        <v>46112</v>
      </c>
      <c r="U44" s="33">
        <v>360226</v>
      </c>
      <c r="V44" s="36">
        <v>46195</v>
      </c>
      <c r="W44" s="6">
        <v>0</v>
      </c>
      <c r="X44" s="40" t="s">
        <v>30</v>
      </c>
      <c r="Z44" s="38"/>
      <c r="AA44" s="39"/>
    </row>
    <row r="45" spans="1:27" x14ac:dyDescent="0.25">
      <c r="A45" s="3" t="s">
        <v>108</v>
      </c>
      <c r="B45" s="2" t="s">
        <v>109</v>
      </c>
      <c r="C45" s="3">
        <v>14</v>
      </c>
      <c r="D45" s="33">
        <v>1771179</v>
      </c>
      <c r="E45" s="33">
        <v>707657</v>
      </c>
      <c r="F45" s="33">
        <v>654426</v>
      </c>
      <c r="G45" s="33">
        <v>409096</v>
      </c>
      <c r="H45" s="32">
        <v>1063522</v>
      </c>
      <c r="I45" s="33">
        <v>0</v>
      </c>
      <c r="J45" s="33">
        <v>490820</v>
      </c>
      <c r="K45" s="33">
        <v>0</v>
      </c>
      <c r="L45" s="33">
        <v>277733</v>
      </c>
      <c r="M45" s="33">
        <v>0</v>
      </c>
      <c r="N45" s="34">
        <v>768553</v>
      </c>
      <c r="O45" s="33">
        <v>185461</v>
      </c>
      <c r="P45" s="35">
        <v>45929</v>
      </c>
      <c r="Q45" s="33">
        <v>185461</v>
      </c>
      <c r="R45" s="35">
        <v>46020</v>
      </c>
      <c r="S45" s="33">
        <v>185461</v>
      </c>
      <c r="T45" s="35">
        <v>46112</v>
      </c>
      <c r="U45" s="33">
        <v>212170</v>
      </c>
      <c r="V45" s="36">
        <v>46195</v>
      </c>
      <c r="W45" s="6">
        <v>0</v>
      </c>
      <c r="X45" s="40" t="s">
        <v>30</v>
      </c>
      <c r="Z45" s="38"/>
      <c r="AA45" s="39"/>
    </row>
    <row r="46" spans="1:27" x14ac:dyDescent="0.25">
      <c r="A46" s="3" t="s">
        <v>110</v>
      </c>
      <c r="B46" s="2" t="s">
        <v>111</v>
      </c>
      <c r="C46" s="3">
        <v>58</v>
      </c>
      <c r="D46" s="33">
        <v>8732783</v>
      </c>
      <c r="E46" s="33">
        <v>2987883</v>
      </c>
      <c r="F46" s="33">
        <v>4133581</v>
      </c>
      <c r="G46" s="33">
        <v>1611319</v>
      </c>
      <c r="H46" s="32">
        <v>5744900</v>
      </c>
      <c r="I46" s="33">
        <v>0</v>
      </c>
      <c r="J46" s="33">
        <v>3100186</v>
      </c>
      <c r="K46" s="33">
        <v>0</v>
      </c>
      <c r="L46" s="33">
        <v>1093916</v>
      </c>
      <c r="M46" s="33">
        <v>0</v>
      </c>
      <c r="N46" s="34">
        <v>4194102</v>
      </c>
      <c r="O46" s="33">
        <v>1022223</v>
      </c>
      <c r="P46" s="35">
        <v>45929</v>
      </c>
      <c r="Q46" s="33">
        <v>1022223</v>
      </c>
      <c r="R46" s="35">
        <v>46020</v>
      </c>
      <c r="S46" s="33">
        <v>1022223</v>
      </c>
      <c r="T46" s="35">
        <v>46112</v>
      </c>
      <c r="U46" s="33">
        <v>1127433</v>
      </c>
      <c r="V46" s="36">
        <v>46195</v>
      </c>
      <c r="W46" s="6">
        <v>567626</v>
      </c>
      <c r="X46" s="40" t="s">
        <v>77</v>
      </c>
      <c r="Z46" s="38"/>
      <c r="AA46" s="39"/>
    </row>
    <row r="47" spans="1:27" x14ac:dyDescent="0.25">
      <c r="A47" s="3" t="s">
        <v>112</v>
      </c>
      <c r="B47" s="2" t="s">
        <v>113</v>
      </c>
      <c r="C47" s="3">
        <v>37</v>
      </c>
      <c r="D47" s="33">
        <v>5673187</v>
      </c>
      <c r="E47" s="33">
        <v>1939503</v>
      </c>
      <c r="F47" s="33">
        <v>2206331</v>
      </c>
      <c r="G47" s="33">
        <v>1527352</v>
      </c>
      <c r="H47" s="32">
        <v>3733683</v>
      </c>
      <c r="I47" s="33">
        <v>0</v>
      </c>
      <c r="J47" s="33">
        <v>1654748</v>
      </c>
      <c r="K47" s="33">
        <v>0</v>
      </c>
      <c r="L47" s="33">
        <v>1036911</v>
      </c>
      <c r="M47" s="33">
        <v>0</v>
      </c>
      <c r="N47" s="34">
        <v>2691659</v>
      </c>
      <c r="O47" s="33">
        <v>647983</v>
      </c>
      <c r="P47" s="35">
        <v>45929</v>
      </c>
      <c r="Q47" s="33">
        <v>647983</v>
      </c>
      <c r="R47" s="35">
        <v>46020</v>
      </c>
      <c r="S47" s="33">
        <v>647983</v>
      </c>
      <c r="T47" s="35">
        <v>46112</v>
      </c>
      <c r="U47" s="33">
        <v>747710</v>
      </c>
      <c r="V47" s="36">
        <v>46195</v>
      </c>
      <c r="W47" s="6">
        <v>0</v>
      </c>
      <c r="X47" s="40" t="s">
        <v>30</v>
      </c>
      <c r="Z47" s="38"/>
      <c r="AA47" s="39"/>
    </row>
    <row r="48" spans="1:27" x14ac:dyDescent="0.25">
      <c r="A48" s="3" t="s">
        <v>114</v>
      </c>
      <c r="B48" s="2" t="s">
        <v>115</v>
      </c>
      <c r="C48" s="3">
        <v>52</v>
      </c>
      <c r="D48" s="33">
        <v>7696448</v>
      </c>
      <c r="E48" s="33">
        <v>2725788</v>
      </c>
      <c r="F48" s="33">
        <v>3591972</v>
      </c>
      <c r="G48" s="33">
        <v>1378688</v>
      </c>
      <c r="H48" s="32">
        <v>4970660</v>
      </c>
      <c r="I48" s="33">
        <v>0</v>
      </c>
      <c r="J48" s="33">
        <v>2693979</v>
      </c>
      <c r="K48" s="33">
        <v>0</v>
      </c>
      <c r="L48" s="33">
        <v>935984</v>
      </c>
      <c r="M48" s="33">
        <v>0</v>
      </c>
      <c r="N48" s="34">
        <v>3629963</v>
      </c>
      <c r="O48" s="33">
        <v>884986</v>
      </c>
      <c r="P48" s="35">
        <v>45929</v>
      </c>
      <c r="Q48" s="33">
        <v>884986</v>
      </c>
      <c r="R48" s="35">
        <v>46020</v>
      </c>
      <c r="S48" s="33">
        <v>884986</v>
      </c>
      <c r="T48" s="35">
        <v>46112</v>
      </c>
      <c r="U48" s="33">
        <v>975005</v>
      </c>
      <c r="V48" s="36">
        <v>46195</v>
      </c>
      <c r="W48" s="6">
        <v>0</v>
      </c>
      <c r="X48" s="40" t="s">
        <v>30</v>
      </c>
      <c r="Z48" s="38"/>
      <c r="AA48" s="39"/>
    </row>
    <row r="49" spans="1:27" x14ac:dyDescent="0.25">
      <c r="A49" s="3" t="s">
        <v>116</v>
      </c>
      <c r="B49" s="2" t="s">
        <v>117</v>
      </c>
      <c r="C49" s="3">
        <v>17</v>
      </c>
      <c r="D49" s="33">
        <v>2436802</v>
      </c>
      <c r="E49" s="33">
        <v>891123</v>
      </c>
      <c r="F49" s="33">
        <v>750691</v>
      </c>
      <c r="G49" s="33">
        <v>794988</v>
      </c>
      <c r="H49" s="32">
        <v>1545679</v>
      </c>
      <c r="I49" s="33">
        <v>0</v>
      </c>
      <c r="J49" s="33">
        <v>563018</v>
      </c>
      <c r="K49" s="33">
        <v>0</v>
      </c>
      <c r="L49" s="33">
        <v>539713</v>
      </c>
      <c r="M49" s="33">
        <v>0</v>
      </c>
      <c r="N49" s="34">
        <v>1102731</v>
      </c>
      <c r="O49" s="33">
        <v>262706</v>
      </c>
      <c r="P49" s="35">
        <v>45929</v>
      </c>
      <c r="Q49" s="33">
        <v>262706</v>
      </c>
      <c r="R49" s="35">
        <v>46020</v>
      </c>
      <c r="S49" s="33">
        <v>262706</v>
      </c>
      <c r="T49" s="35">
        <v>46112</v>
      </c>
      <c r="U49" s="33">
        <v>314613</v>
      </c>
      <c r="V49" s="36">
        <v>46195</v>
      </c>
      <c r="W49" s="6">
        <v>88969</v>
      </c>
      <c r="X49" s="40" t="s">
        <v>77</v>
      </c>
      <c r="Z49" s="38"/>
      <c r="AA49" s="39"/>
    </row>
    <row r="50" spans="1:27" x14ac:dyDescent="0.25">
      <c r="A50" s="3" t="s">
        <v>118</v>
      </c>
      <c r="B50" s="2" t="s">
        <v>119</v>
      </c>
      <c r="C50" s="3">
        <v>1</v>
      </c>
      <c r="D50" s="33">
        <v>151337</v>
      </c>
      <c r="E50" s="33">
        <v>52419</v>
      </c>
      <c r="F50" s="33">
        <v>31357</v>
      </c>
      <c r="G50" s="33">
        <v>67561</v>
      </c>
      <c r="H50" s="32">
        <v>98918</v>
      </c>
      <c r="I50" s="33">
        <v>0</v>
      </c>
      <c r="J50" s="33">
        <v>23518</v>
      </c>
      <c r="K50" s="33">
        <v>0</v>
      </c>
      <c r="L50" s="33">
        <v>45867</v>
      </c>
      <c r="M50" s="33">
        <v>0</v>
      </c>
      <c r="N50" s="34">
        <v>69385</v>
      </c>
      <c r="O50" s="33">
        <v>16243</v>
      </c>
      <c r="P50" s="35">
        <v>45929</v>
      </c>
      <c r="Q50" s="33">
        <v>16243</v>
      </c>
      <c r="R50" s="35">
        <v>46030</v>
      </c>
      <c r="S50" s="33">
        <v>16243</v>
      </c>
      <c r="T50" s="35">
        <v>46112</v>
      </c>
      <c r="U50" s="33">
        <v>20656</v>
      </c>
      <c r="V50" s="36">
        <v>46195</v>
      </c>
      <c r="W50" s="6">
        <v>0</v>
      </c>
      <c r="X50" s="40" t="s">
        <v>30</v>
      </c>
      <c r="Z50" s="38"/>
      <c r="AA50" s="39"/>
    </row>
    <row r="51" spans="1:27" x14ac:dyDescent="0.25">
      <c r="A51" s="3" t="s">
        <v>120</v>
      </c>
      <c r="B51" s="2" t="s">
        <v>121</v>
      </c>
      <c r="C51" s="3">
        <v>25</v>
      </c>
      <c r="D51" s="33">
        <v>3159894</v>
      </c>
      <c r="E51" s="33">
        <v>1310475</v>
      </c>
      <c r="F51" s="33">
        <v>1503648</v>
      </c>
      <c r="G51" s="33">
        <v>345771</v>
      </c>
      <c r="H51" s="32">
        <v>1849419</v>
      </c>
      <c r="I51" s="33">
        <v>0</v>
      </c>
      <c r="J51" s="33">
        <v>1127736</v>
      </c>
      <c r="K51" s="33">
        <v>0</v>
      </c>
      <c r="L51" s="33">
        <v>234742</v>
      </c>
      <c r="M51" s="33">
        <v>0</v>
      </c>
      <c r="N51" s="34">
        <v>1362478</v>
      </c>
      <c r="O51" s="33">
        <v>334975</v>
      </c>
      <c r="P51" s="35">
        <v>45929</v>
      </c>
      <c r="Q51" s="33">
        <v>334975</v>
      </c>
      <c r="R51" s="35">
        <v>46020</v>
      </c>
      <c r="S51" s="33">
        <v>334975</v>
      </c>
      <c r="T51" s="35">
        <v>46112</v>
      </c>
      <c r="U51" s="33">
        <v>357553</v>
      </c>
      <c r="V51" s="36">
        <v>46195</v>
      </c>
      <c r="W51" s="6">
        <v>0</v>
      </c>
      <c r="X51" s="40" t="s">
        <v>30</v>
      </c>
      <c r="Z51" s="38"/>
      <c r="AA51" s="39"/>
    </row>
    <row r="52" spans="1:27" x14ac:dyDescent="0.25">
      <c r="A52" s="3" t="s">
        <v>122</v>
      </c>
      <c r="B52" s="2" t="s">
        <v>123</v>
      </c>
      <c r="C52" s="3">
        <v>26</v>
      </c>
      <c r="D52" s="33">
        <v>3337543</v>
      </c>
      <c r="E52" s="33">
        <v>1362894</v>
      </c>
      <c r="F52" s="33">
        <v>1207364</v>
      </c>
      <c r="G52" s="33">
        <v>767285</v>
      </c>
      <c r="H52" s="32">
        <v>1974649</v>
      </c>
      <c r="I52" s="33">
        <v>0</v>
      </c>
      <c r="J52" s="33">
        <v>905523</v>
      </c>
      <c r="K52" s="33">
        <v>0</v>
      </c>
      <c r="L52" s="33">
        <v>520906</v>
      </c>
      <c r="M52" s="33">
        <v>0</v>
      </c>
      <c r="N52" s="34">
        <v>1426429</v>
      </c>
      <c r="O52" s="33">
        <v>344082</v>
      </c>
      <c r="P52" s="35">
        <v>45929</v>
      </c>
      <c r="Q52" s="33">
        <v>344082</v>
      </c>
      <c r="R52" s="35">
        <v>46020</v>
      </c>
      <c r="S52" s="33">
        <v>344082</v>
      </c>
      <c r="T52" s="35">
        <v>46112</v>
      </c>
      <c r="U52" s="33">
        <v>394183</v>
      </c>
      <c r="V52" s="36">
        <v>46195</v>
      </c>
      <c r="W52" s="6">
        <v>0</v>
      </c>
      <c r="X52" s="40" t="s">
        <v>30</v>
      </c>
      <c r="Z52" s="38"/>
      <c r="AA52" s="39"/>
    </row>
    <row r="53" spans="1:27" x14ac:dyDescent="0.25">
      <c r="A53" s="3" t="s">
        <v>124</v>
      </c>
      <c r="B53" s="2" t="s">
        <v>125</v>
      </c>
      <c r="C53" s="3">
        <v>26</v>
      </c>
      <c r="D53" s="33">
        <v>3708984</v>
      </c>
      <c r="E53" s="33">
        <v>1336685</v>
      </c>
      <c r="F53" s="33">
        <v>1774644</v>
      </c>
      <c r="G53" s="33">
        <v>597655</v>
      </c>
      <c r="H53" s="32">
        <v>2372299</v>
      </c>
      <c r="I53" s="33">
        <v>0</v>
      </c>
      <c r="J53" s="33">
        <v>1330983</v>
      </c>
      <c r="K53" s="33">
        <v>0</v>
      </c>
      <c r="L53" s="33">
        <v>405745</v>
      </c>
      <c r="M53" s="33">
        <v>-9688</v>
      </c>
      <c r="N53" s="34">
        <v>1727040</v>
      </c>
      <c r="O53" s="33">
        <v>422004</v>
      </c>
      <c r="P53" s="35">
        <v>45929</v>
      </c>
      <c r="Q53" s="33">
        <v>422004</v>
      </c>
      <c r="R53" s="35">
        <v>46020</v>
      </c>
      <c r="S53" s="33">
        <v>422004</v>
      </c>
      <c r="T53" s="35">
        <v>46112</v>
      </c>
      <c r="U53" s="33">
        <v>461028</v>
      </c>
      <c r="V53" s="36">
        <v>46195</v>
      </c>
      <c r="W53" s="6">
        <v>0</v>
      </c>
      <c r="X53" s="40" t="s">
        <v>30</v>
      </c>
      <c r="Z53" s="38"/>
      <c r="AA53" s="39"/>
    </row>
    <row r="54" spans="1:27" x14ac:dyDescent="0.25">
      <c r="A54" s="3" t="s">
        <v>126</v>
      </c>
      <c r="B54" s="2" t="s">
        <v>127</v>
      </c>
      <c r="C54" s="3">
        <v>2</v>
      </c>
      <c r="D54" s="33">
        <v>249699</v>
      </c>
      <c r="E54" s="33">
        <v>104838</v>
      </c>
      <c r="F54" s="33">
        <v>118454</v>
      </c>
      <c r="G54" s="33">
        <v>26407</v>
      </c>
      <c r="H54" s="32">
        <v>144861</v>
      </c>
      <c r="I54" s="33">
        <v>0</v>
      </c>
      <c r="J54" s="33">
        <v>88841</v>
      </c>
      <c r="K54" s="33">
        <v>0</v>
      </c>
      <c r="L54" s="33">
        <v>17928</v>
      </c>
      <c r="M54" s="33">
        <v>-2871</v>
      </c>
      <c r="N54" s="34">
        <v>103898</v>
      </c>
      <c r="O54" s="33">
        <v>29899</v>
      </c>
      <c r="P54" s="35">
        <v>45929</v>
      </c>
      <c r="Q54" s="33">
        <v>29899</v>
      </c>
      <c r="R54" s="35">
        <v>46030</v>
      </c>
      <c r="S54" s="33">
        <v>21188</v>
      </c>
      <c r="T54" s="35">
        <v>46112</v>
      </c>
      <c r="U54" s="33">
        <v>22912</v>
      </c>
      <c r="V54" s="36">
        <v>46195</v>
      </c>
      <c r="W54" s="6">
        <v>35753</v>
      </c>
      <c r="X54" s="40" t="s">
        <v>77</v>
      </c>
      <c r="Z54" s="38"/>
      <c r="AA54" s="39"/>
    </row>
    <row r="55" spans="1:27" x14ac:dyDescent="0.25">
      <c r="A55" s="3" t="s">
        <v>128</v>
      </c>
      <c r="B55" s="2" t="s">
        <v>129</v>
      </c>
      <c r="C55" s="3">
        <v>24</v>
      </c>
      <c r="D55" s="33">
        <v>3076540</v>
      </c>
      <c r="E55" s="33">
        <v>1258056</v>
      </c>
      <c r="F55" s="33">
        <v>1525940</v>
      </c>
      <c r="G55" s="33">
        <v>292544</v>
      </c>
      <c r="H55" s="32">
        <v>1818484</v>
      </c>
      <c r="I55" s="33">
        <v>0</v>
      </c>
      <c r="J55" s="33">
        <v>1144455</v>
      </c>
      <c r="K55" s="33">
        <v>0</v>
      </c>
      <c r="L55" s="33">
        <v>198607</v>
      </c>
      <c r="M55" s="33">
        <v>0</v>
      </c>
      <c r="N55" s="34">
        <v>1343062</v>
      </c>
      <c r="O55" s="33">
        <v>330990</v>
      </c>
      <c r="P55" s="35">
        <v>45929</v>
      </c>
      <c r="Q55" s="33">
        <v>330990</v>
      </c>
      <c r="R55" s="35">
        <v>46020</v>
      </c>
      <c r="S55" s="33">
        <v>330990</v>
      </c>
      <c r="T55" s="35">
        <v>46112</v>
      </c>
      <c r="U55" s="33">
        <v>350092</v>
      </c>
      <c r="V55" s="36">
        <v>46195</v>
      </c>
      <c r="W55" s="6">
        <v>208840</v>
      </c>
      <c r="X55" s="40" t="s">
        <v>77</v>
      </c>
      <c r="Z55" s="38"/>
      <c r="AA55" s="39"/>
    </row>
    <row r="56" spans="1:27" x14ac:dyDescent="0.25">
      <c r="A56" s="3" t="s">
        <v>130</v>
      </c>
      <c r="B56" s="2" t="s">
        <v>131</v>
      </c>
      <c r="C56" s="3">
        <v>41</v>
      </c>
      <c r="D56" s="33">
        <v>5011930</v>
      </c>
      <c r="E56" s="33">
        <v>2149179</v>
      </c>
      <c r="F56" s="33">
        <v>2406426</v>
      </c>
      <c r="G56" s="33">
        <v>456325</v>
      </c>
      <c r="H56" s="32">
        <v>2862751</v>
      </c>
      <c r="I56" s="33">
        <v>0</v>
      </c>
      <c r="J56" s="33">
        <v>1804820</v>
      </c>
      <c r="K56" s="33">
        <v>0</v>
      </c>
      <c r="L56" s="33">
        <v>309797</v>
      </c>
      <c r="M56" s="33">
        <v>-27523</v>
      </c>
      <c r="N56" s="34">
        <v>2087094</v>
      </c>
      <c r="O56" s="33">
        <v>514325</v>
      </c>
      <c r="P56" s="35">
        <v>45929</v>
      </c>
      <c r="Q56" s="33">
        <v>514325</v>
      </c>
      <c r="R56" s="35">
        <v>46020</v>
      </c>
      <c r="S56" s="33">
        <v>514325</v>
      </c>
      <c r="T56" s="35">
        <v>46112</v>
      </c>
      <c r="U56" s="33">
        <v>544119</v>
      </c>
      <c r="V56" s="36">
        <v>46195</v>
      </c>
      <c r="W56" s="6">
        <v>0</v>
      </c>
      <c r="X56" s="40" t="s">
        <v>30</v>
      </c>
      <c r="Z56" s="38"/>
      <c r="AA56" s="39"/>
    </row>
    <row r="57" spans="1:27" x14ac:dyDescent="0.25">
      <c r="A57" s="3" t="s">
        <v>132</v>
      </c>
      <c r="B57" s="2" t="s">
        <v>133</v>
      </c>
      <c r="C57" s="3">
        <v>27</v>
      </c>
      <c r="D57" s="33">
        <v>2941657</v>
      </c>
      <c r="E57" s="33">
        <v>1415313</v>
      </c>
      <c r="F57" s="33">
        <v>920767</v>
      </c>
      <c r="G57" s="33">
        <v>605577</v>
      </c>
      <c r="H57" s="32">
        <v>1526344</v>
      </c>
      <c r="I57" s="33">
        <v>0</v>
      </c>
      <c r="J57" s="33">
        <v>690575</v>
      </c>
      <c r="K57" s="33">
        <v>0</v>
      </c>
      <c r="L57" s="33">
        <v>411123</v>
      </c>
      <c r="M57" s="33">
        <v>0</v>
      </c>
      <c r="N57" s="34">
        <v>1101698</v>
      </c>
      <c r="O57" s="33">
        <v>265539</v>
      </c>
      <c r="P57" s="35">
        <v>45929</v>
      </c>
      <c r="Q57" s="33">
        <v>265539</v>
      </c>
      <c r="R57" s="35">
        <v>46020</v>
      </c>
      <c r="S57" s="33">
        <v>265539</v>
      </c>
      <c r="T57" s="35">
        <v>46112</v>
      </c>
      <c r="U57" s="33">
        <v>305081</v>
      </c>
      <c r="V57" s="36">
        <v>46195</v>
      </c>
      <c r="W57" s="6">
        <v>0</v>
      </c>
      <c r="X57" s="40" t="s">
        <v>30</v>
      </c>
      <c r="Z57" s="38"/>
      <c r="AA57" s="39"/>
    </row>
    <row r="58" spans="1:27" x14ac:dyDescent="0.25">
      <c r="A58" s="3" t="s">
        <v>134</v>
      </c>
      <c r="B58" s="2" t="s">
        <v>135</v>
      </c>
      <c r="C58" s="3">
        <v>1</v>
      </c>
      <c r="D58" s="33">
        <v>318262</v>
      </c>
      <c r="E58" s="33">
        <v>52419</v>
      </c>
      <c r="F58" s="33">
        <v>265843</v>
      </c>
      <c r="G58" s="33">
        <v>0</v>
      </c>
      <c r="H58" s="32">
        <v>265843</v>
      </c>
      <c r="I58" s="33">
        <v>0</v>
      </c>
      <c r="J58" s="33">
        <v>199382</v>
      </c>
      <c r="K58" s="33">
        <v>0</v>
      </c>
      <c r="L58" s="33">
        <v>0</v>
      </c>
      <c r="M58" s="33">
        <v>-7001</v>
      </c>
      <c r="N58" s="34">
        <v>192381</v>
      </c>
      <c r="O58" s="33">
        <v>48095</v>
      </c>
      <c r="P58" s="35">
        <v>45929</v>
      </c>
      <c r="Q58" s="33">
        <v>48095</v>
      </c>
      <c r="R58" s="35">
        <v>46020</v>
      </c>
      <c r="S58" s="33">
        <v>48096</v>
      </c>
      <c r="T58" s="35">
        <v>46112</v>
      </c>
      <c r="U58" s="33">
        <v>48095</v>
      </c>
      <c r="V58" s="36">
        <v>46195</v>
      </c>
      <c r="W58" s="6">
        <v>0</v>
      </c>
      <c r="X58" s="40" t="s">
        <v>30</v>
      </c>
      <c r="Z58" s="38"/>
      <c r="AA58" s="39"/>
    </row>
    <row r="59" spans="1:27" x14ac:dyDescent="0.25">
      <c r="A59" s="3" t="s">
        <v>136</v>
      </c>
      <c r="B59" s="2" t="s">
        <v>137</v>
      </c>
      <c r="C59" s="3">
        <v>3</v>
      </c>
      <c r="D59" s="33">
        <v>355631</v>
      </c>
      <c r="E59" s="33">
        <v>157257</v>
      </c>
      <c r="F59" s="33">
        <v>93441</v>
      </c>
      <c r="G59" s="33">
        <v>104933</v>
      </c>
      <c r="H59" s="32">
        <v>198374</v>
      </c>
      <c r="I59" s="33">
        <v>0</v>
      </c>
      <c r="J59" s="33">
        <v>70081</v>
      </c>
      <c r="K59" s="33">
        <v>0</v>
      </c>
      <c r="L59" s="33">
        <v>71238</v>
      </c>
      <c r="M59" s="33">
        <v>0</v>
      </c>
      <c r="N59" s="34">
        <v>141319</v>
      </c>
      <c r="O59" s="33">
        <v>33617</v>
      </c>
      <c r="P59" s="35">
        <v>45929</v>
      </c>
      <c r="Q59" s="33">
        <v>33617</v>
      </c>
      <c r="R59" s="35">
        <v>46020</v>
      </c>
      <c r="S59" s="33">
        <v>33617</v>
      </c>
      <c r="T59" s="35">
        <v>46112</v>
      </c>
      <c r="U59" s="33">
        <v>40468</v>
      </c>
      <c r="V59" s="36">
        <v>46195</v>
      </c>
      <c r="W59" s="6">
        <v>0</v>
      </c>
      <c r="X59" s="40" t="s">
        <v>30</v>
      </c>
      <c r="Z59" s="38"/>
      <c r="AA59" s="39"/>
    </row>
    <row r="60" spans="1:27" x14ac:dyDescent="0.25">
      <c r="A60" s="3" t="s">
        <v>138</v>
      </c>
      <c r="B60" s="2" t="s">
        <v>139</v>
      </c>
      <c r="C60" s="3">
        <v>89</v>
      </c>
      <c r="D60" s="33">
        <v>12503705</v>
      </c>
      <c r="E60" s="33">
        <v>4665291</v>
      </c>
      <c r="F60" s="33">
        <v>5659477</v>
      </c>
      <c r="G60" s="33">
        <v>2178937</v>
      </c>
      <c r="H60" s="32">
        <v>7838414</v>
      </c>
      <c r="I60" s="33">
        <v>269490</v>
      </c>
      <c r="J60" s="33">
        <v>4042490</v>
      </c>
      <c r="K60" s="33">
        <v>92488</v>
      </c>
      <c r="L60" s="33">
        <v>1416479</v>
      </c>
      <c r="M60" s="33">
        <v>0</v>
      </c>
      <c r="N60" s="34">
        <v>5820947</v>
      </c>
      <c r="O60" s="33">
        <v>1421178</v>
      </c>
      <c r="P60" s="35">
        <v>45929</v>
      </c>
      <c r="Q60" s="33">
        <v>1421178</v>
      </c>
      <c r="R60" s="35">
        <v>46020</v>
      </c>
      <c r="S60" s="33">
        <v>1421178</v>
      </c>
      <c r="T60" s="35">
        <v>46112</v>
      </c>
      <c r="U60" s="33">
        <v>1557413</v>
      </c>
      <c r="V60" s="36">
        <v>46195</v>
      </c>
      <c r="W60" s="6">
        <v>0</v>
      </c>
      <c r="X60" s="40" t="s">
        <v>30</v>
      </c>
      <c r="Z60" s="38"/>
      <c r="AA60" s="39"/>
    </row>
    <row r="61" spans="1:27" x14ac:dyDescent="0.25">
      <c r="A61" s="3" t="s">
        <v>140</v>
      </c>
      <c r="B61" s="2" t="s">
        <v>141</v>
      </c>
      <c r="C61" s="3">
        <v>16</v>
      </c>
      <c r="D61" s="33">
        <v>2559967</v>
      </c>
      <c r="E61" s="33">
        <v>812495</v>
      </c>
      <c r="F61" s="33">
        <v>1228757</v>
      </c>
      <c r="G61" s="33">
        <v>518715</v>
      </c>
      <c r="H61" s="32">
        <v>1747472</v>
      </c>
      <c r="I61" s="33">
        <v>0</v>
      </c>
      <c r="J61" s="33">
        <v>921568</v>
      </c>
      <c r="K61" s="33">
        <v>0</v>
      </c>
      <c r="L61" s="33">
        <v>352153</v>
      </c>
      <c r="M61" s="33">
        <v>0</v>
      </c>
      <c r="N61" s="34">
        <v>1273721</v>
      </c>
      <c r="O61" s="33">
        <v>309963</v>
      </c>
      <c r="P61" s="35">
        <v>45929</v>
      </c>
      <c r="Q61" s="33">
        <v>309963</v>
      </c>
      <c r="R61" s="35">
        <v>46020</v>
      </c>
      <c r="S61" s="33">
        <v>309963</v>
      </c>
      <c r="T61" s="35">
        <v>46112</v>
      </c>
      <c r="U61" s="33">
        <v>343832</v>
      </c>
      <c r="V61" s="36">
        <v>46195</v>
      </c>
      <c r="W61" s="6">
        <v>0</v>
      </c>
      <c r="X61" s="40" t="s">
        <v>30</v>
      </c>
      <c r="Z61" s="38"/>
      <c r="AA61" s="39"/>
    </row>
    <row r="62" spans="1:27" x14ac:dyDescent="0.25">
      <c r="A62" s="3" t="s">
        <v>142</v>
      </c>
      <c r="B62" s="2" t="s">
        <v>143</v>
      </c>
      <c r="C62" s="3">
        <v>99</v>
      </c>
      <c r="D62" s="33">
        <v>12378830</v>
      </c>
      <c r="E62" s="33">
        <v>5110853</v>
      </c>
      <c r="F62" s="33">
        <v>4253996</v>
      </c>
      <c r="G62" s="33">
        <v>3013982</v>
      </c>
      <c r="H62" s="32">
        <v>7267978</v>
      </c>
      <c r="I62" s="33">
        <v>184206</v>
      </c>
      <c r="J62" s="33">
        <v>3052343</v>
      </c>
      <c r="K62" s="33">
        <v>53336</v>
      </c>
      <c r="L62" s="33">
        <v>2009967</v>
      </c>
      <c r="M62" s="33">
        <v>0</v>
      </c>
      <c r="N62" s="34">
        <v>5299852</v>
      </c>
      <c r="O62" s="33">
        <v>1276634</v>
      </c>
      <c r="P62" s="35">
        <v>45929</v>
      </c>
      <c r="Q62" s="33">
        <v>1276634</v>
      </c>
      <c r="R62" s="35">
        <v>46020</v>
      </c>
      <c r="S62" s="33">
        <v>1276634</v>
      </c>
      <c r="T62" s="35">
        <v>46112</v>
      </c>
      <c r="U62" s="33">
        <v>1469950</v>
      </c>
      <c r="V62" s="36">
        <v>46195</v>
      </c>
      <c r="W62" s="6">
        <v>0</v>
      </c>
      <c r="X62" s="40" t="s">
        <v>30</v>
      </c>
      <c r="Z62" s="38"/>
      <c r="AA62" s="39"/>
    </row>
    <row r="63" spans="1:27" x14ac:dyDescent="0.25">
      <c r="A63" s="3" t="s">
        <v>144</v>
      </c>
      <c r="B63" s="2" t="s">
        <v>145</v>
      </c>
      <c r="C63" s="3">
        <v>31</v>
      </c>
      <c r="D63" s="33">
        <v>3525422</v>
      </c>
      <c r="E63" s="33">
        <v>1598780</v>
      </c>
      <c r="F63" s="33">
        <v>1325084</v>
      </c>
      <c r="G63" s="33">
        <v>601558</v>
      </c>
      <c r="H63" s="32">
        <v>1926642</v>
      </c>
      <c r="I63" s="33">
        <v>20524</v>
      </c>
      <c r="J63" s="33">
        <v>978420</v>
      </c>
      <c r="K63" s="33">
        <v>69650</v>
      </c>
      <c r="L63" s="33">
        <v>361110</v>
      </c>
      <c r="M63" s="33">
        <v>0</v>
      </c>
      <c r="N63" s="34">
        <v>1429704</v>
      </c>
      <c r="O63" s="33">
        <v>348743</v>
      </c>
      <c r="P63" s="35">
        <v>45929</v>
      </c>
      <c r="Q63" s="33">
        <v>348743</v>
      </c>
      <c r="R63" s="35">
        <v>46020</v>
      </c>
      <c r="S63" s="33">
        <v>348743</v>
      </c>
      <c r="T63" s="35">
        <v>46112</v>
      </c>
      <c r="U63" s="33">
        <v>383475</v>
      </c>
      <c r="V63" s="36">
        <v>46195</v>
      </c>
      <c r="W63" s="6">
        <v>0</v>
      </c>
      <c r="X63" s="40" t="s">
        <v>30</v>
      </c>
      <c r="Z63" s="38"/>
      <c r="AA63" s="39"/>
    </row>
    <row r="64" spans="1:27" x14ac:dyDescent="0.25">
      <c r="A64" s="3" t="s">
        <v>146</v>
      </c>
      <c r="B64" s="2" t="s">
        <v>147</v>
      </c>
      <c r="C64" s="3">
        <v>129</v>
      </c>
      <c r="D64" s="33">
        <v>15444845</v>
      </c>
      <c r="E64" s="33">
        <v>6709632</v>
      </c>
      <c r="F64" s="33">
        <v>5743096</v>
      </c>
      <c r="G64" s="33">
        <v>2992117</v>
      </c>
      <c r="H64" s="32">
        <v>8735213</v>
      </c>
      <c r="I64" s="33">
        <v>1001362</v>
      </c>
      <c r="J64" s="33">
        <v>3556301</v>
      </c>
      <c r="K64" s="33">
        <v>194639</v>
      </c>
      <c r="L64" s="33">
        <v>1899193</v>
      </c>
      <c r="M64" s="33">
        <v>0</v>
      </c>
      <c r="N64" s="34">
        <v>6651495</v>
      </c>
      <c r="O64" s="33">
        <v>1617209</v>
      </c>
      <c r="P64" s="35">
        <v>45929</v>
      </c>
      <c r="Q64" s="33">
        <v>1617209</v>
      </c>
      <c r="R64" s="35">
        <v>46020</v>
      </c>
      <c r="S64" s="33">
        <v>1617209</v>
      </c>
      <c r="T64" s="35">
        <v>46112</v>
      </c>
      <c r="U64" s="33">
        <v>1799868</v>
      </c>
      <c r="V64" s="36">
        <v>46195</v>
      </c>
      <c r="W64" s="6">
        <v>0</v>
      </c>
      <c r="X64" s="40" t="s">
        <v>30</v>
      </c>
      <c r="Z64" s="38"/>
      <c r="AA64" s="39"/>
    </row>
    <row r="65" spans="1:27" x14ac:dyDescent="0.25">
      <c r="A65" s="3" t="s">
        <v>148</v>
      </c>
      <c r="B65" s="2" t="s">
        <v>149</v>
      </c>
      <c r="C65" s="3">
        <v>22</v>
      </c>
      <c r="D65" s="33">
        <v>3180379</v>
      </c>
      <c r="E65" s="33">
        <v>1127009</v>
      </c>
      <c r="F65" s="33">
        <v>1387904</v>
      </c>
      <c r="G65" s="33">
        <v>665467</v>
      </c>
      <c r="H65" s="32">
        <v>2053371</v>
      </c>
      <c r="I65" s="33">
        <v>0</v>
      </c>
      <c r="J65" s="33">
        <v>1040928</v>
      </c>
      <c r="K65" s="33">
        <v>0</v>
      </c>
      <c r="L65" s="33">
        <v>451782</v>
      </c>
      <c r="M65" s="33">
        <v>0</v>
      </c>
      <c r="N65" s="34">
        <v>1492710</v>
      </c>
      <c r="O65" s="33">
        <v>362315</v>
      </c>
      <c r="P65" s="35">
        <v>45929</v>
      </c>
      <c r="Q65" s="33">
        <v>362315</v>
      </c>
      <c r="R65" s="35">
        <v>46020</v>
      </c>
      <c r="S65" s="33">
        <v>362315</v>
      </c>
      <c r="T65" s="35">
        <v>46112</v>
      </c>
      <c r="U65" s="33">
        <v>405765</v>
      </c>
      <c r="V65" s="36">
        <v>46195</v>
      </c>
      <c r="W65" s="6">
        <v>0</v>
      </c>
      <c r="X65" s="40" t="s">
        <v>30</v>
      </c>
      <c r="Z65" s="38"/>
      <c r="AA65" s="39"/>
    </row>
    <row r="66" spans="1:27" x14ac:dyDescent="0.25">
      <c r="A66" s="3" t="s">
        <v>150</v>
      </c>
      <c r="B66" s="2" t="s">
        <v>151</v>
      </c>
      <c r="C66" s="3">
        <v>196</v>
      </c>
      <c r="D66" s="33">
        <v>29512362</v>
      </c>
      <c r="E66" s="33">
        <v>10116867</v>
      </c>
      <c r="F66" s="33">
        <v>14535710</v>
      </c>
      <c r="G66" s="33">
        <v>4859786</v>
      </c>
      <c r="H66" s="32">
        <v>19395496</v>
      </c>
      <c r="I66" s="33">
        <v>939789</v>
      </c>
      <c r="J66" s="33">
        <v>10196941</v>
      </c>
      <c r="K66" s="33">
        <v>367521</v>
      </c>
      <c r="L66" s="33">
        <v>3049775</v>
      </c>
      <c r="M66" s="33">
        <v>0</v>
      </c>
      <c r="N66" s="34">
        <v>14554026</v>
      </c>
      <c r="O66" s="33">
        <v>3565176</v>
      </c>
      <c r="P66" s="35">
        <v>45929</v>
      </c>
      <c r="Q66" s="33">
        <v>3565176</v>
      </c>
      <c r="R66" s="35">
        <v>46020</v>
      </c>
      <c r="S66" s="33">
        <v>3565176</v>
      </c>
      <c r="T66" s="35">
        <v>46112</v>
      </c>
      <c r="U66" s="33">
        <v>3858498</v>
      </c>
      <c r="V66" s="36">
        <v>46195</v>
      </c>
      <c r="W66" s="6">
        <v>0</v>
      </c>
      <c r="X66" s="40" t="s">
        <v>30</v>
      </c>
      <c r="Z66" s="38"/>
      <c r="AA66" s="39"/>
    </row>
    <row r="67" spans="1:27" x14ac:dyDescent="0.25">
      <c r="A67" s="3" t="s">
        <v>152</v>
      </c>
      <c r="B67" s="2" t="s">
        <v>153</v>
      </c>
      <c r="C67" s="3">
        <v>75</v>
      </c>
      <c r="D67" s="33">
        <v>10330980</v>
      </c>
      <c r="E67" s="33">
        <v>3931425</v>
      </c>
      <c r="F67" s="33">
        <v>4797382</v>
      </c>
      <c r="G67" s="33">
        <v>1602174</v>
      </c>
      <c r="H67" s="32">
        <v>6399556</v>
      </c>
      <c r="I67" s="33">
        <v>0</v>
      </c>
      <c r="J67" s="33">
        <v>3598037</v>
      </c>
      <c r="K67" s="33">
        <v>0</v>
      </c>
      <c r="L67" s="33">
        <v>1087707</v>
      </c>
      <c r="M67" s="33">
        <v>0</v>
      </c>
      <c r="N67" s="34">
        <v>4685744</v>
      </c>
      <c r="O67" s="33">
        <v>1145283</v>
      </c>
      <c r="P67" s="35">
        <v>45929</v>
      </c>
      <c r="Q67" s="33">
        <v>1145283</v>
      </c>
      <c r="R67" s="35">
        <v>46020</v>
      </c>
      <c r="S67" s="33">
        <v>1145283</v>
      </c>
      <c r="T67" s="35">
        <v>46112</v>
      </c>
      <c r="U67" s="33">
        <v>1249895</v>
      </c>
      <c r="V67" s="36">
        <v>46195</v>
      </c>
      <c r="W67" s="6">
        <v>0</v>
      </c>
      <c r="X67" s="40" t="s">
        <v>30</v>
      </c>
      <c r="Z67" s="38"/>
      <c r="AA67" s="39"/>
    </row>
    <row r="68" spans="1:27" x14ac:dyDescent="0.25">
      <c r="A68" s="3" t="s">
        <v>154</v>
      </c>
      <c r="B68" s="2" t="s">
        <v>155</v>
      </c>
      <c r="C68" s="3">
        <v>38</v>
      </c>
      <c r="D68" s="33">
        <v>4199631</v>
      </c>
      <c r="E68" s="33">
        <v>1991922</v>
      </c>
      <c r="F68" s="33">
        <v>1554082</v>
      </c>
      <c r="G68" s="33">
        <v>653628</v>
      </c>
      <c r="H68" s="32">
        <v>2207710</v>
      </c>
      <c r="I68" s="33">
        <v>0</v>
      </c>
      <c r="J68" s="33">
        <v>1165562</v>
      </c>
      <c r="K68" s="33">
        <v>0</v>
      </c>
      <c r="L68" s="33">
        <v>443745</v>
      </c>
      <c r="M68" s="33">
        <v>0</v>
      </c>
      <c r="N68" s="34">
        <v>1609307</v>
      </c>
      <c r="O68" s="33">
        <v>391657</v>
      </c>
      <c r="P68" s="35">
        <v>45929</v>
      </c>
      <c r="Q68" s="33">
        <v>391657</v>
      </c>
      <c r="R68" s="35">
        <v>46020</v>
      </c>
      <c r="S68" s="33">
        <v>391657</v>
      </c>
      <c r="T68" s="35">
        <v>46112</v>
      </c>
      <c r="U68" s="33">
        <v>434336</v>
      </c>
      <c r="V68" s="36">
        <v>46195</v>
      </c>
      <c r="W68" s="6">
        <v>0</v>
      </c>
      <c r="X68" s="40" t="s">
        <v>30</v>
      </c>
      <c r="Z68" s="38"/>
      <c r="AA68" s="39"/>
    </row>
    <row r="69" spans="1:27" x14ac:dyDescent="0.25">
      <c r="A69" s="3" t="s">
        <v>156</v>
      </c>
      <c r="B69" s="2" t="s">
        <v>157</v>
      </c>
      <c r="C69" s="3">
        <v>17</v>
      </c>
      <c r="D69" s="33">
        <v>2303817</v>
      </c>
      <c r="E69" s="33">
        <v>891123</v>
      </c>
      <c r="F69" s="33">
        <v>1195164</v>
      </c>
      <c r="G69" s="33">
        <v>217530</v>
      </c>
      <c r="H69" s="32">
        <v>1412694</v>
      </c>
      <c r="I69" s="33">
        <v>0</v>
      </c>
      <c r="J69" s="33">
        <v>896373</v>
      </c>
      <c r="K69" s="33">
        <v>0</v>
      </c>
      <c r="L69" s="33">
        <v>147680</v>
      </c>
      <c r="M69" s="33">
        <v>0</v>
      </c>
      <c r="N69" s="34">
        <v>1044053</v>
      </c>
      <c r="O69" s="33">
        <v>263061</v>
      </c>
      <c r="P69" s="35">
        <v>45929</v>
      </c>
      <c r="Q69" s="33">
        <v>263061</v>
      </c>
      <c r="R69" s="35">
        <v>46020</v>
      </c>
      <c r="S69" s="33">
        <v>251864</v>
      </c>
      <c r="T69" s="35">
        <v>46112</v>
      </c>
      <c r="U69" s="33">
        <v>266067</v>
      </c>
      <c r="V69" s="36">
        <v>46195</v>
      </c>
      <c r="W69" s="6">
        <v>388139</v>
      </c>
      <c r="X69" s="40" t="s">
        <v>77</v>
      </c>
      <c r="Z69" s="38"/>
      <c r="AA69" s="39"/>
    </row>
    <row r="70" spans="1:27" x14ac:dyDescent="0.25">
      <c r="A70" s="3" t="s">
        <v>158</v>
      </c>
      <c r="B70" s="2" t="s">
        <v>159</v>
      </c>
      <c r="C70" s="3">
        <v>57</v>
      </c>
      <c r="D70" s="33">
        <v>7862277</v>
      </c>
      <c r="E70" s="33">
        <v>2935464</v>
      </c>
      <c r="F70" s="33">
        <v>3641159</v>
      </c>
      <c r="G70" s="33">
        <v>1285654</v>
      </c>
      <c r="H70" s="32">
        <v>4926813</v>
      </c>
      <c r="I70" s="33">
        <v>69605</v>
      </c>
      <c r="J70" s="33">
        <v>2678666</v>
      </c>
      <c r="K70" s="33">
        <v>0</v>
      </c>
      <c r="L70" s="33">
        <v>872824</v>
      </c>
      <c r="M70" s="33">
        <v>-9749</v>
      </c>
      <c r="N70" s="34">
        <v>3611346</v>
      </c>
      <c r="O70" s="33">
        <v>881850</v>
      </c>
      <c r="P70" s="35">
        <v>45929</v>
      </c>
      <c r="Q70" s="33">
        <v>881850</v>
      </c>
      <c r="R70" s="35">
        <v>46020</v>
      </c>
      <c r="S70" s="33">
        <v>881850</v>
      </c>
      <c r="T70" s="35">
        <v>46112</v>
      </c>
      <c r="U70" s="33">
        <v>965796</v>
      </c>
      <c r="V70" s="36">
        <v>46195</v>
      </c>
      <c r="W70" s="6">
        <v>0</v>
      </c>
      <c r="X70" s="40" t="s">
        <v>30</v>
      </c>
      <c r="Z70" s="38"/>
      <c r="AA70" s="39"/>
    </row>
    <row r="71" spans="1:27" x14ac:dyDescent="0.25">
      <c r="A71" s="3" t="s">
        <v>160</v>
      </c>
      <c r="B71" s="2" t="s">
        <v>161</v>
      </c>
      <c r="C71" s="3">
        <v>53</v>
      </c>
      <c r="D71" s="33">
        <v>6157731</v>
      </c>
      <c r="E71" s="33">
        <v>2673369</v>
      </c>
      <c r="F71" s="33">
        <v>2312291</v>
      </c>
      <c r="G71" s="33">
        <v>1172071</v>
      </c>
      <c r="H71" s="32">
        <v>3484362</v>
      </c>
      <c r="I71" s="33">
        <v>0</v>
      </c>
      <c r="J71" s="33">
        <v>1734218</v>
      </c>
      <c r="K71" s="33">
        <v>0</v>
      </c>
      <c r="L71" s="33">
        <v>795713</v>
      </c>
      <c r="M71" s="33">
        <v>-28595</v>
      </c>
      <c r="N71" s="34">
        <v>2501336</v>
      </c>
      <c r="O71" s="33">
        <v>603529</v>
      </c>
      <c r="P71" s="35">
        <v>45929</v>
      </c>
      <c r="Q71" s="33">
        <v>603529</v>
      </c>
      <c r="R71" s="35">
        <v>46020</v>
      </c>
      <c r="S71" s="33">
        <v>603529</v>
      </c>
      <c r="T71" s="35">
        <v>46112</v>
      </c>
      <c r="U71" s="33">
        <v>690749</v>
      </c>
      <c r="V71" s="36">
        <v>46195</v>
      </c>
      <c r="W71" s="6">
        <v>286059</v>
      </c>
      <c r="X71" s="40" t="s">
        <v>77</v>
      </c>
      <c r="Z71" s="38"/>
      <c r="AA71" s="39"/>
    </row>
    <row r="72" spans="1:27" x14ac:dyDescent="0.25">
      <c r="A72" s="3" t="s">
        <v>162</v>
      </c>
      <c r="B72" s="2" t="s">
        <v>163</v>
      </c>
      <c r="C72" s="3">
        <v>11</v>
      </c>
      <c r="D72" s="33">
        <v>1794480</v>
      </c>
      <c r="E72" s="33">
        <v>576609</v>
      </c>
      <c r="F72" s="33">
        <v>987342</v>
      </c>
      <c r="G72" s="33">
        <v>230528</v>
      </c>
      <c r="H72" s="32">
        <v>1217870</v>
      </c>
      <c r="I72" s="33">
        <v>0</v>
      </c>
      <c r="J72" s="33">
        <v>740507</v>
      </c>
      <c r="K72" s="33">
        <v>0</v>
      </c>
      <c r="L72" s="33">
        <v>156504</v>
      </c>
      <c r="M72" s="33">
        <v>0</v>
      </c>
      <c r="N72" s="34">
        <v>897011</v>
      </c>
      <c r="O72" s="33">
        <v>220490</v>
      </c>
      <c r="P72" s="35">
        <v>45929</v>
      </c>
      <c r="Q72" s="33">
        <v>220490</v>
      </c>
      <c r="R72" s="35">
        <v>46030</v>
      </c>
      <c r="S72" s="33">
        <v>220490</v>
      </c>
      <c r="T72" s="35">
        <v>46112</v>
      </c>
      <c r="U72" s="33">
        <v>235541</v>
      </c>
      <c r="V72" s="36">
        <v>46195</v>
      </c>
      <c r="W72" s="6">
        <v>0</v>
      </c>
      <c r="X72" s="40" t="s">
        <v>30</v>
      </c>
      <c r="Z72" s="38"/>
      <c r="AA72" s="39"/>
    </row>
    <row r="73" spans="1:27" x14ac:dyDescent="0.25">
      <c r="A73" s="3" t="s">
        <v>164</v>
      </c>
      <c r="B73" s="2" t="s">
        <v>165</v>
      </c>
      <c r="C73" s="3">
        <v>33</v>
      </c>
      <c r="D73" s="33">
        <v>3587907</v>
      </c>
      <c r="E73" s="33">
        <v>1572570</v>
      </c>
      <c r="F73" s="33">
        <v>1668134</v>
      </c>
      <c r="G73" s="33">
        <v>347204</v>
      </c>
      <c r="H73" s="32">
        <v>2015338</v>
      </c>
      <c r="I73" s="33">
        <v>212526</v>
      </c>
      <c r="J73" s="33">
        <v>1091706</v>
      </c>
      <c r="K73" s="33">
        <v>26195</v>
      </c>
      <c r="L73" s="33">
        <v>217931</v>
      </c>
      <c r="M73" s="33">
        <v>0</v>
      </c>
      <c r="N73" s="34">
        <v>1548358</v>
      </c>
      <c r="O73" s="33">
        <v>381850</v>
      </c>
      <c r="P73" s="35">
        <v>45929</v>
      </c>
      <c r="Q73" s="33">
        <v>381850</v>
      </c>
      <c r="R73" s="35">
        <v>46030</v>
      </c>
      <c r="S73" s="33">
        <v>381850</v>
      </c>
      <c r="T73" s="35">
        <v>46112</v>
      </c>
      <c r="U73" s="33">
        <v>402808</v>
      </c>
      <c r="V73" s="36">
        <v>46195</v>
      </c>
      <c r="W73" s="6">
        <v>0</v>
      </c>
      <c r="X73" s="40" t="s">
        <v>30</v>
      </c>
      <c r="Z73" s="38"/>
      <c r="AA73" s="39"/>
    </row>
    <row r="74" spans="1:27" x14ac:dyDescent="0.25">
      <c r="A74" s="3" t="s">
        <v>166</v>
      </c>
      <c r="B74" s="2" t="s">
        <v>167</v>
      </c>
      <c r="C74" s="3">
        <v>3</v>
      </c>
      <c r="D74" s="33">
        <v>220721</v>
      </c>
      <c r="E74" s="33">
        <v>157257</v>
      </c>
      <c r="F74" s="33">
        <v>16305</v>
      </c>
      <c r="G74" s="33">
        <v>47159</v>
      </c>
      <c r="H74" s="32">
        <v>63464</v>
      </c>
      <c r="I74" s="33">
        <v>0</v>
      </c>
      <c r="J74" s="33">
        <v>12229</v>
      </c>
      <c r="K74" s="33">
        <v>0</v>
      </c>
      <c r="L74" s="33">
        <v>32016</v>
      </c>
      <c r="M74" s="33">
        <v>0</v>
      </c>
      <c r="N74" s="34">
        <v>44245</v>
      </c>
      <c r="O74" s="33">
        <v>3057</v>
      </c>
      <c r="P74" s="35">
        <v>45929</v>
      </c>
      <c r="Q74" s="33">
        <v>3057</v>
      </c>
      <c r="R74" s="35">
        <v>46020</v>
      </c>
      <c r="S74" s="33">
        <v>3057</v>
      </c>
      <c r="T74" s="35">
        <v>46112</v>
      </c>
      <c r="U74" s="33">
        <v>35074</v>
      </c>
      <c r="V74" s="36">
        <v>46195</v>
      </c>
      <c r="W74" s="6">
        <v>0</v>
      </c>
      <c r="X74" s="40" t="s">
        <v>30</v>
      </c>
      <c r="Z74" s="38"/>
      <c r="AA74" s="39"/>
    </row>
    <row r="75" spans="1:27" x14ac:dyDescent="0.25">
      <c r="A75" s="3" t="s">
        <v>168</v>
      </c>
      <c r="B75" s="2" t="s">
        <v>169</v>
      </c>
      <c r="C75" s="3">
        <v>3</v>
      </c>
      <c r="D75" s="33">
        <v>398887</v>
      </c>
      <c r="E75" s="33">
        <v>157257</v>
      </c>
      <c r="F75" s="33">
        <v>124673</v>
      </c>
      <c r="G75" s="33">
        <v>116957</v>
      </c>
      <c r="H75" s="32">
        <v>241630</v>
      </c>
      <c r="I75" s="33">
        <v>0</v>
      </c>
      <c r="J75" s="33">
        <v>93505</v>
      </c>
      <c r="K75" s="33">
        <v>0</v>
      </c>
      <c r="L75" s="33">
        <v>79401</v>
      </c>
      <c r="M75" s="33">
        <v>0</v>
      </c>
      <c r="N75" s="34">
        <v>172906</v>
      </c>
      <c r="O75" s="33">
        <v>41317</v>
      </c>
      <c r="P75" s="35">
        <v>45929</v>
      </c>
      <c r="Q75" s="33">
        <v>41317</v>
      </c>
      <c r="R75" s="35">
        <v>46030</v>
      </c>
      <c r="S75" s="33">
        <v>41317</v>
      </c>
      <c r="T75" s="35">
        <v>46112</v>
      </c>
      <c r="U75" s="33">
        <v>48955</v>
      </c>
      <c r="V75" s="36">
        <v>46195</v>
      </c>
      <c r="W75" s="6">
        <v>35930</v>
      </c>
      <c r="X75" s="40" t="s">
        <v>77</v>
      </c>
      <c r="Z75" s="38"/>
      <c r="AA75" s="39"/>
    </row>
    <row r="76" spans="1:27" x14ac:dyDescent="0.25">
      <c r="A76" s="3" t="s">
        <v>170</v>
      </c>
      <c r="B76" s="2" t="s">
        <v>171</v>
      </c>
      <c r="C76" s="3">
        <v>1</v>
      </c>
      <c r="D76" s="33">
        <v>441650</v>
      </c>
      <c r="E76" s="33">
        <v>52419</v>
      </c>
      <c r="F76" s="33">
        <v>389231</v>
      </c>
      <c r="G76" s="33">
        <v>0</v>
      </c>
      <c r="H76" s="32">
        <v>389231</v>
      </c>
      <c r="I76" s="33">
        <v>0</v>
      </c>
      <c r="J76" s="33">
        <v>291924</v>
      </c>
      <c r="K76" s="33">
        <v>0</v>
      </c>
      <c r="L76" s="33">
        <v>0</v>
      </c>
      <c r="M76" s="33">
        <v>0</v>
      </c>
      <c r="N76" s="34">
        <v>291924</v>
      </c>
      <c r="O76" s="33">
        <v>72981</v>
      </c>
      <c r="P76" s="35">
        <v>45929</v>
      </c>
      <c r="Q76" s="33">
        <v>72981</v>
      </c>
      <c r="R76" s="35">
        <v>46020</v>
      </c>
      <c r="S76" s="33">
        <v>72981</v>
      </c>
      <c r="T76" s="35">
        <v>46112</v>
      </c>
      <c r="U76" s="33">
        <v>72981</v>
      </c>
      <c r="V76" s="36">
        <v>46195</v>
      </c>
      <c r="W76" s="6">
        <v>0</v>
      </c>
      <c r="X76" s="40" t="s">
        <v>30</v>
      </c>
      <c r="Z76" s="38"/>
      <c r="AA76" s="39"/>
    </row>
    <row r="77" spans="1:27" x14ac:dyDescent="0.25">
      <c r="A77" s="3" t="s">
        <v>172</v>
      </c>
      <c r="B77" s="2" t="s">
        <v>173</v>
      </c>
      <c r="C77" s="3">
        <v>39</v>
      </c>
      <c r="D77" s="33">
        <v>4191613</v>
      </c>
      <c r="E77" s="33">
        <v>1991922</v>
      </c>
      <c r="F77" s="33">
        <v>1574065</v>
      </c>
      <c r="G77" s="33">
        <v>625627</v>
      </c>
      <c r="H77" s="32">
        <v>2199692</v>
      </c>
      <c r="I77" s="33">
        <v>0</v>
      </c>
      <c r="J77" s="33">
        <v>1180549</v>
      </c>
      <c r="K77" s="33">
        <v>0</v>
      </c>
      <c r="L77" s="33">
        <v>424735</v>
      </c>
      <c r="M77" s="33">
        <v>0</v>
      </c>
      <c r="N77" s="34">
        <v>1605284</v>
      </c>
      <c r="O77" s="33">
        <v>420673</v>
      </c>
      <c r="P77" s="35">
        <v>45929</v>
      </c>
      <c r="Q77" s="33">
        <v>420673</v>
      </c>
      <c r="R77" s="35">
        <v>46020</v>
      </c>
      <c r="S77" s="33">
        <v>361544</v>
      </c>
      <c r="T77" s="35">
        <v>46112</v>
      </c>
      <c r="U77" s="33">
        <v>402394</v>
      </c>
      <c r="V77" s="36">
        <v>46195</v>
      </c>
      <c r="W77" s="6">
        <v>0</v>
      </c>
      <c r="X77" s="40" t="s">
        <v>30</v>
      </c>
      <c r="Z77" s="38"/>
      <c r="AA77" s="39"/>
    </row>
    <row r="78" spans="1:27" x14ac:dyDescent="0.25">
      <c r="A78" s="3" t="s">
        <v>174</v>
      </c>
      <c r="B78" s="2" t="s">
        <v>175</v>
      </c>
      <c r="C78" s="3">
        <v>25</v>
      </c>
      <c r="D78" s="33">
        <v>2976751</v>
      </c>
      <c r="E78" s="33">
        <v>1310475</v>
      </c>
      <c r="F78" s="33">
        <v>1129741</v>
      </c>
      <c r="G78" s="33">
        <v>536534</v>
      </c>
      <c r="H78" s="32">
        <v>1666275</v>
      </c>
      <c r="I78" s="33">
        <v>0</v>
      </c>
      <c r="J78" s="33">
        <v>847306</v>
      </c>
      <c r="K78" s="33">
        <v>0</v>
      </c>
      <c r="L78" s="33">
        <v>364250</v>
      </c>
      <c r="M78" s="33">
        <v>0</v>
      </c>
      <c r="N78" s="34">
        <v>1211556</v>
      </c>
      <c r="O78" s="33">
        <v>294131</v>
      </c>
      <c r="P78" s="35">
        <v>45929</v>
      </c>
      <c r="Q78" s="33">
        <v>294131</v>
      </c>
      <c r="R78" s="35">
        <v>46020</v>
      </c>
      <c r="S78" s="33">
        <v>294131</v>
      </c>
      <c r="T78" s="35">
        <v>46112</v>
      </c>
      <c r="U78" s="33">
        <v>329163</v>
      </c>
      <c r="V78" s="36">
        <v>46195</v>
      </c>
      <c r="W78" s="6">
        <v>0</v>
      </c>
      <c r="X78" s="40" t="s">
        <v>30</v>
      </c>
      <c r="Z78" s="38"/>
      <c r="AA78" s="39"/>
    </row>
    <row r="79" spans="1:27" x14ac:dyDescent="0.25">
      <c r="A79" s="3" t="s">
        <v>176</v>
      </c>
      <c r="B79" s="2" t="s">
        <v>177</v>
      </c>
      <c r="C79" s="3">
        <v>3</v>
      </c>
      <c r="D79" s="33">
        <v>218997</v>
      </c>
      <c r="E79" s="33">
        <v>157257</v>
      </c>
      <c r="F79" s="33">
        <v>25761</v>
      </c>
      <c r="G79" s="33">
        <v>35979</v>
      </c>
      <c r="H79" s="32">
        <v>61740</v>
      </c>
      <c r="I79" s="33">
        <v>0</v>
      </c>
      <c r="J79" s="33">
        <v>19321</v>
      </c>
      <c r="K79" s="33">
        <v>0</v>
      </c>
      <c r="L79" s="33">
        <v>24426</v>
      </c>
      <c r="M79" s="33">
        <v>0</v>
      </c>
      <c r="N79" s="34">
        <v>43747</v>
      </c>
      <c r="O79" s="33">
        <v>10350</v>
      </c>
      <c r="P79" s="35">
        <v>45929</v>
      </c>
      <c r="Q79" s="33">
        <v>10350</v>
      </c>
      <c r="R79" s="35">
        <v>46020</v>
      </c>
      <c r="S79" s="33">
        <v>10350</v>
      </c>
      <c r="T79" s="35">
        <v>46112</v>
      </c>
      <c r="U79" s="33">
        <v>12697</v>
      </c>
      <c r="V79" s="36">
        <v>46195</v>
      </c>
      <c r="W79" s="6">
        <v>0</v>
      </c>
      <c r="X79" s="40" t="s">
        <v>30</v>
      </c>
      <c r="Z79" s="38"/>
      <c r="AA79" s="39"/>
    </row>
    <row r="80" spans="1:27" x14ac:dyDescent="0.25">
      <c r="A80" s="3" t="s">
        <v>178</v>
      </c>
      <c r="B80" s="2" t="s">
        <v>179</v>
      </c>
      <c r="C80" s="3">
        <v>119</v>
      </c>
      <c r="D80" s="33">
        <v>14010598</v>
      </c>
      <c r="E80" s="33">
        <v>6211652</v>
      </c>
      <c r="F80" s="33">
        <v>6192671</v>
      </c>
      <c r="G80" s="33">
        <v>1606276</v>
      </c>
      <c r="H80" s="32">
        <v>7798947</v>
      </c>
      <c r="I80" s="33">
        <v>755429</v>
      </c>
      <c r="J80" s="33">
        <v>4077932</v>
      </c>
      <c r="K80" s="33">
        <v>475983</v>
      </c>
      <c r="L80" s="33">
        <v>767350</v>
      </c>
      <c r="M80" s="33">
        <v>0</v>
      </c>
      <c r="N80" s="34">
        <v>6076694</v>
      </c>
      <c r="O80" s="33">
        <v>1500723</v>
      </c>
      <c r="P80" s="35">
        <v>45929</v>
      </c>
      <c r="Q80" s="33">
        <v>1500723</v>
      </c>
      <c r="R80" s="35">
        <v>46020</v>
      </c>
      <c r="S80" s="33">
        <v>1500723</v>
      </c>
      <c r="T80" s="35">
        <v>46112</v>
      </c>
      <c r="U80" s="33">
        <v>1574525</v>
      </c>
      <c r="V80" s="36">
        <v>46195</v>
      </c>
      <c r="W80" s="6">
        <v>0</v>
      </c>
      <c r="X80" s="40" t="s">
        <v>30</v>
      </c>
      <c r="Z80" s="38"/>
      <c r="AA80" s="39"/>
    </row>
    <row r="81" spans="1:27" x14ac:dyDescent="0.25">
      <c r="A81" s="3" t="s">
        <v>180</v>
      </c>
      <c r="B81" s="2" t="s">
        <v>181</v>
      </c>
      <c r="C81" s="3">
        <v>46</v>
      </c>
      <c r="D81" s="33">
        <v>5717883</v>
      </c>
      <c r="E81" s="33">
        <v>2411274</v>
      </c>
      <c r="F81" s="33">
        <v>2656321</v>
      </c>
      <c r="G81" s="33">
        <v>650288</v>
      </c>
      <c r="H81" s="32">
        <v>3306609</v>
      </c>
      <c r="I81" s="33">
        <v>32237</v>
      </c>
      <c r="J81" s="33">
        <v>1968063</v>
      </c>
      <c r="K81" s="33">
        <v>14760</v>
      </c>
      <c r="L81" s="33">
        <v>431457</v>
      </c>
      <c r="M81" s="33">
        <v>0</v>
      </c>
      <c r="N81" s="34">
        <v>2446517</v>
      </c>
      <c r="O81" s="33">
        <v>601255</v>
      </c>
      <c r="P81" s="35">
        <v>45929</v>
      </c>
      <c r="Q81" s="33">
        <v>601255</v>
      </c>
      <c r="R81" s="35">
        <v>46020</v>
      </c>
      <c r="S81" s="33">
        <v>601255</v>
      </c>
      <c r="T81" s="35">
        <v>46112</v>
      </c>
      <c r="U81" s="33">
        <v>642752</v>
      </c>
      <c r="V81" s="36">
        <v>46195</v>
      </c>
      <c r="W81" s="6">
        <v>0</v>
      </c>
      <c r="X81" s="40" t="s">
        <v>30</v>
      </c>
      <c r="Z81" s="38"/>
      <c r="AA81" s="39"/>
    </row>
    <row r="82" spans="1:27" x14ac:dyDescent="0.25">
      <c r="A82" s="3" t="s">
        <v>182</v>
      </c>
      <c r="B82" s="2" t="s">
        <v>183</v>
      </c>
      <c r="C82" s="3">
        <v>27</v>
      </c>
      <c r="D82" s="33">
        <v>3793661</v>
      </c>
      <c r="E82" s="33">
        <v>1389104</v>
      </c>
      <c r="F82" s="33">
        <v>1352583</v>
      </c>
      <c r="G82" s="33">
        <v>1051975</v>
      </c>
      <c r="H82" s="32">
        <v>2404558</v>
      </c>
      <c r="I82" s="33">
        <v>0</v>
      </c>
      <c r="J82" s="33">
        <v>1014437</v>
      </c>
      <c r="K82" s="33">
        <v>0</v>
      </c>
      <c r="L82" s="33">
        <v>714180</v>
      </c>
      <c r="M82" s="33">
        <v>0</v>
      </c>
      <c r="N82" s="34">
        <v>1728617</v>
      </c>
      <c r="O82" s="33">
        <v>414982</v>
      </c>
      <c r="P82" s="35">
        <v>45929</v>
      </c>
      <c r="Q82" s="33">
        <v>414982</v>
      </c>
      <c r="R82" s="35">
        <v>46020</v>
      </c>
      <c r="S82" s="33">
        <v>414982</v>
      </c>
      <c r="T82" s="35">
        <v>46112</v>
      </c>
      <c r="U82" s="33">
        <v>483671</v>
      </c>
      <c r="V82" s="36">
        <v>46195</v>
      </c>
      <c r="W82" s="6">
        <v>605753</v>
      </c>
      <c r="X82" s="40" t="s">
        <v>77</v>
      </c>
      <c r="Z82" s="38"/>
      <c r="AA82" s="39"/>
    </row>
    <row r="83" spans="1:27" x14ac:dyDescent="0.25">
      <c r="A83" s="3" t="s">
        <v>184</v>
      </c>
      <c r="B83" s="2" t="s">
        <v>185</v>
      </c>
      <c r="C83" s="3">
        <v>4</v>
      </c>
      <c r="D83" s="33">
        <v>593893</v>
      </c>
      <c r="E83" s="33">
        <v>209676</v>
      </c>
      <c r="F83" s="33">
        <v>305728</v>
      </c>
      <c r="G83" s="33">
        <v>78489</v>
      </c>
      <c r="H83" s="32">
        <v>384217</v>
      </c>
      <c r="I83" s="33">
        <v>0</v>
      </c>
      <c r="J83" s="33">
        <v>229296</v>
      </c>
      <c r="K83" s="33">
        <v>0</v>
      </c>
      <c r="L83" s="33">
        <v>53286</v>
      </c>
      <c r="M83" s="33">
        <v>0</v>
      </c>
      <c r="N83" s="34">
        <v>282582</v>
      </c>
      <c r="O83" s="33">
        <v>69364</v>
      </c>
      <c r="P83" s="35">
        <v>45929</v>
      </c>
      <c r="Q83" s="33">
        <v>69364</v>
      </c>
      <c r="R83" s="35">
        <v>46020</v>
      </c>
      <c r="S83" s="33">
        <v>69364</v>
      </c>
      <c r="T83" s="35">
        <v>46112</v>
      </c>
      <c r="U83" s="33">
        <v>74490</v>
      </c>
      <c r="V83" s="36">
        <v>46195</v>
      </c>
      <c r="W83" s="6">
        <v>43590</v>
      </c>
      <c r="X83" s="40" t="s">
        <v>77</v>
      </c>
      <c r="Z83" s="38"/>
      <c r="AA83" s="39"/>
    </row>
    <row r="84" spans="1:27" x14ac:dyDescent="0.25">
      <c r="A84" s="3" t="s">
        <v>186</v>
      </c>
      <c r="B84" s="2" t="s">
        <v>187</v>
      </c>
      <c r="C84" s="3">
        <v>40</v>
      </c>
      <c r="D84" s="33">
        <v>6547275</v>
      </c>
      <c r="E84" s="33">
        <v>2070551</v>
      </c>
      <c r="F84" s="33">
        <v>2891614</v>
      </c>
      <c r="G84" s="33">
        <v>1585111</v>
      </c>
      <c r="H84" s="32">
        <v>4476725</v>
      </c>
      <c r="I84" s="33">
        <v>0</v>
      </c>
      <c r="J84" s="33">
        <v>2168711</v>
      </c>
      <c r="K84" s="33">
        <v>0</v>
      </c>
      <c r="L84" s="33">
        <v>1076123</v>
      </c>
      <c r="M84" s="33">
        <v>0</v>
      </c>
      <c r="N84" s="34">
        <v>3244834</v>
      </c>
      <c r="O84" s="33">
        <v>785334</v>
      </c>
      <c r="P84" s="35">
        <v>45929</v>
      </c>
      <c r="Q84" s="33">
        <v>785334</v>
      </c>
      <c r="R84" s="35">
        <v>46020</v>
      </c>
      <c r="S84" s="33">
        <v>785334</v>
      </c>
      <c r="T84" s="35">
        <v>46112</v>
      </c>
      <c r="U84" s="33">
        <v>888832</v>
      </c>
      <c r="V84" s="36">
        <v>46195</v>
      </c>
      <c r="W84" s="6">
        <v>0</v>
      </c>
      <c r="X84" s="40" t="s">
        <v>30</v>
      </c>
      <c r="Z84" s="38"/>
      <c r="AA84" s="39"/>
    </row>
    <row r="85" spans="1:27" x14ac:dyDescent="0.25">
      <c r="A85" s="3" t="s">
        <v>188</v>
      </c>
      <c r="B85" s="2" t="s">
        <v>189</v>
      </c>
      <c r="C85" s="3">
        <v>117</v>
      </c>
      <c r="D85" s="33">
        <v>15697138</v>
      </c>
      <c r="E85" s="33">
        <v>6080604</v>
      </c>
      <c r="F85" s="33">
        <v>7071770</v>
      </c>
      <c r="G85" s="33">
        <v>2544765</v>
      </c>
      <c r="H85" s="32">
        <v>9616535</v>
      </c>
      <c r="I85" s="33">
        <v>942385</v>
      </c>
      <c r="J85" s="33">
        <v>4597039</v>
      </c>
      <c r="K85" s="33">
        <v>186535</v>
      </c>
      <c r="L85" s="33">
        <v>1600990</v>
      </c>
      <c r="M85" s="33">
        <v>0</v>
      </c>
      <c r="N85" s="34">
        <v>7326949</v>
      </c>
      <c r="O85" s="33">
        <v>1793242</v>
      </c>
      <c r="P85" s="35">
        <v>45929</v>
      </c>
      <c r="Q85" s="33">
        <v>1793242</v>
      </c>
      <c r="R85" s="35">
        <v>46020</v>
      </c>
      <c r="S85" s="33">
        <v>1793242</v>
      </c>
      <c r="T85" s="35">
        <v>46112</v>
      </c>
      <c r="U85" s="33">
        <v>1947223</v>
      </c>
      <c r="V85" s="36">
        <v>46195</v>
      </c>
      <c r="W85" s="6">
        <v>0</v>
      </c>
      <c r="X85" s="40" t="s">
        <v>30</v>
      </c>
      <c r="Z85" s="38"/>
      <c r="AA85" s="39"/>
    </row>
    <row r="86" spans="1:27" x14ac:dyDescent="0.25">
      <c r="A86" s="3" t="s">
        <v>190</v>
      </c>
      <c r="B86" s="2" t="s">
        <v>191</v>
      </c>
      <c r="C86" s="3">
        <v>7</v>
      </c>
      <c r="D86" s="33">
        <v>1157228</v>
      </c>
      <c r="E86" s="33">
        <v>340724</v>
      </c>
      <c r="F86" s="33">
        <v>732614</v>
      </c>
      <c r="G86" s="33">
        <v>83891</v>
      </c>
      <c r="H86" s="32">
        <v>816505</v>
      </c>
      <c r="I86" s="33">
        <v>0</v>
      </c>
      <c r="J86" s="33">
        <v>549461</v>
      </c>
      <c r="K86" s="33">
        <v>0</v>
      </c>
      <c r="L86" s="33">
        <v>56953</v>
      </c>
      <c r="M86" s="33">
        <v>0</v>
      </c>
      <c r="N86" s="34">
        <v>606414</v>
      </c>
      <c r="O86" s="33">
        <v>150234</v>
      </c>
      <c r="P86" s="35">
        <v>45929</v>
      </c>
      <c r="Q86" s="33">
        <v>150234</v>
      </c>
      <c r="R86" s="35">
        <v>46020</v>
      </c>
      <c r="S86" s="33">
        <v>150234</v>
      </c>
      <c r="T86" s="35">
        <v>46112</v>
      </c>
      <c r="U86" s="33">
        <v>155712</v>
      </c>
      <c r="V86" s="36">
        <v>46195</v>
      </c>
      <c r="W86" s="6">
        <v>0</v>
      </c>
      <c r="X86" s="40" t="s">
        <v>30</v>
      </c>
      <c r="Z86" s="38"/>
      <c r="AA86" s="39"/>
    </row>
    <row r="87" spans="1:27" x14ac:dyDescent="0.25">
      <c r="A87" s="3" t="s">
        <v>192</v>
      </c>
      <c r="B87" s="2" t="s">
        <v>193</v>
      </c>
      <c r="C87" s="3">
        <v>37</v>
      </c>
      <c r="D87" s="33">
        <v>5371645</v>
      </c>
      <c r="E87" s="33">
        <v>1913294</v>
      </c>
      <c r="F87" s="33">
        <v>2241118</v>
      </c>
      <c r="G87" s="33">
        <v>1217234</v>
      </c>
      <c r="H87" s="32">
        <v>3458352</v>
      </c>
      <c r="I87" s="33">
        <v>0</v>
      </c>
      <c r="J87" s="33">
        <v>1680839</v>
      </c>
      <c r="K87" s="33">
        <v>0</v>
      </c>
      <c r="L87" s="33">
        <v>826374</v>
      </c>
      <c r="M87" s="33">
        <v>0</v>
      </c>
      <c r="N87" s="34">
        <v>2507213</v>
      </c>
      <c r="O87" s="33">
        <v>606934</v>
      </c>
      <c r="P87" s="35">
        <v>45929</v>
      </c>
      <c r="Q87" s="33">
        <v>606934</v>
      </c>
      <c r="R87" s="35">
        <v>46020</v>
      </c>
      <c r="S87" s="33">
        <v>606934</v>
      </c>
      <c r="T87" s="35">
        <v>46112</v>
      </c>
      <c r="U87" s="33">
        <v>686411</v>
      </c>
      <c r="V87" s="36">
        <v>46195</v>
      </c>
      <c r="W87" s="6">
        <v>0</v>
      </c>
      <c r="X87" s="40" t="s">
        <v>30</v>
      </c>
      <c r="Z87" s="38"/>
      <c r="AA87" s="39"/>
    </row>
    <row r="88" spans="1:27" x14ac:dyDescent="0.25">
      <c r="A88" s="3" t="s">
        <v>194</v>
      </c>
      <c r="B88" s="2" t="s">
        <v>195</v>
      </c>
      <c r="C88" s="3">
        <v>38</v>
      </c>
      <c r="D88" s="33">
        <v>4965000</v>
      </c>
      <c r="E88" s="33">
        <v>1991922</v>
      </c>
      <c r="F88" s="33">
        <v>2216844</v>
      </c>
      <c r="G88" s="33">
        <v>756234</v>
      </c>
      <c r="H88" s="32">
        <v>2973078</v>
      </c>
      <c r="I88" s="33">
        <v>68398</v>
      </c>
      <c r="J88" s="33">
        <v>1611335</v>
      </c>
      <c r="K88" s="33">
        <v>0</v>
      </c>
      <c r="L88" s="33">
        <v>513403</v>
      </c>
      <c r="M88" s="33">
        <v>0</v>
      </c>
      <c r="N88" s="34">
        <v>2193136</v>
      </c>
      <c r="O88" s="33">
        <v>527759</v>
      </c>
      <c r="P88" s="35">
        <v>45929</v>
      </c>
      <c r="Q88" s="33">
        <v>527759</v>
      </c>
      <c r="R88" s="35">
        <v>46030</v>
      </c>
      <c r="S88" s="33">
        <v>527759</v>
      </c>
      <c r="T88" s="35">
        <v>46112</v>
      </c>
      <c r="U88" s="33">
        <v>609859</v>
      </c>
      <c r="V88" s="36">
        <v>46195</v>
      </c>
      <c r="W88" s="6">
        <v>0</v>
      </c>
      <c r="X88" s="40" t="s">
        <v>30</v>
      </c>
      <c r="Z88" s="38"/>
      <c r="AA88" s="39"/>
    </row>
    <row r="89" spans="1:27" x14ac:dyDescent="0.25">
      <c r="A89" s="3" t="s">
        <v>196</v>
      </c>
      <c r="B89" s="2" t="s">
        <v>197</v>
      </c>
      <c r="C89" s="3">
        <v>14</v>
      </c>
      <c r="D89" s="33">
        <v>1638072</v>
      </c>
      <c r="E89" s="33">
        <v>733866</v>
      </c>
      <c r="F89" s="33">
        <v>636370</v>
      </c>
      <c r="G89" s="33">
        <v>267835</v>
      </c>
      <c r="H89" s="32">
        <v>904205</v>
      </c>
      <c r="I89" s="33">
        <v>179721</v>
      </c>
      <c r="J89" s="33">
        <v>342487</v>
      </c>
      <c r="K89" s="33">
        <v>32725</v>
      </c>
      <c r="L89" s="33">
        <v>159615</v>
      </c>
      <c r="M89" s="33">
        <v>0</v>
      </c>
      <c r="N89" s="34">
        <v>714548</v>
      </c>
      <c r="O89" s="33">
        <v>174799</v>
      </c>
      <c r="P89" s="35">
        <v>45929</v>
      </c>
      <c r="Q89" s="33">
        <v>174799</v>
      </c>
      <c r="R89" s="35">
        <v>46020</v>
      </c>
      <c r="S89" s="33">
        <v>174799</v>
      </c>
      <c r="T89" s="35">
        <v>46112</v>
      </c>
      <c r="U89" s="33">
        <v>190151</v>
      </c>
      <c r="V89" s="36">
        <v>46195</v>
      </c>
      <c r="W89" s="6">
        <v>0</v>
      </c>
      <c r="X89" s="40" t="s">
        <v>30</v>
      </c>
      <c r="Z89" s="38"/>
      <c r="AA89" s="39"/>
    </row>
    <row r="90" spans="1:27" x14ac:dyDescent="0.25">
      <c r="A90" s="3" t="s">
        <v>198</v>
      </c>
      <c r="B90" s="2" t="s">
        <v>199</v>
      </c>
      <c r="C90" s="3">
        <v>27</v>
      </c>
      <c r="D90" s="33">
        <v>3226789</v>
      </c>
      <c r="E90" s="33">
        <v>1415313</v>
      </c>
      <c r="F90" s="33">
        <v>1299374</v>
      </c>
      <c r="G90" s="33">
        <v>512101</v>
      </c>
      <c r="H90" s="32">
        <v>1811475</v>
      </c>
      <c r="I90" s="33">
        <v>5246</v>
      </c>
      <c r="J90" s="33">
        <v>970596</v>
      </c>
      <c r="K90" s="33">
        <v>17689</v>
      </c>
      <c r="L90" s="33">
        <v>335654</v>
      </c>
      <c r="M90" s="33">
        <v>-4315</v>
      </c>
      <c r="N90" s="34">
        <f>1324870-0.28</f>
        <v>1324869.72</v>
      </c>
      <c r="O90" s="33">
        <v>323147</v>
      </c>
      <c r="P90" s="35">
        <v>45929</v>
      </c>
      <c r="Q90" s="33">
        <v>323147</v>
      </c>
      <c r="R90" s="35">
        <v>46030</v>
      </c>
      <c r="S90" s="33">
        <v>323147</v>
      </c>
      <c r="T90" s="35">
        <v>46112</v>
      </c>
      <c r="U90" s="33">
        <f>355429-0.28</f>
        <v>355428.72</v>
      </c>
      <c r="V90" s="36">
        <v>46195</v>
      </c>
      <c r="W90" s="6">
        <v>0</v>
      </c>
      <c r="X90" s="40" t="s">
        <v>30</v>
      </c>
      <c r="Z90" s="38"/>
      <c r="AA90" s="39"/>
    </row>
    <row r="91" spans="1:27" x14ac:dyDescent="0.25">
      <c r="A91" s="3" t="s">
        <v>200</v>
      </c>
      <c r="B91" s="2" t="s">
        <v>201</v>
      </c>
      <c r="C91" s="3">
        <v>9</v>
      </c>
      <c r="D91" s="33">
        <v>1160695</v>
      </c>
      <c r="E91" s="33">
        <v>471771</v>
      </c>
      <c r="F91" s="33">
        <v>354892</v>
      </c>
      <c r="G91" s="33">
        <v>334032</v>
      </c>
      <c r="H91" s="32">
        <v>688924</v>
      </c>
      <c r="I91" s="33">
        <v>0</v>
      </c>
      <c r="J91" s="33">
        <v>266169</v>
      </c>
      <c r="K91" s="33">
        <v>0</v>
      </c>
      <c r="L91" s="33">
        <v>226773</v>
      </c>
      <c r="M91" s="33">
        <v>0</v>
      </c>
      <c r="N91" s="34">
        <v>492942</v>
      </c>
      <c r="O91" s="33">
        <v>121631</v>
      </c>
      <c r="P91" s="35">
        <v>45929</v>
      </c>
      <c r="Q91" s="33">
        <v>121631</v>
      </c>
      <c r="R91" s="35">
        <v>46030</v>
      </c>
      <c r="S91" s="33">
        <v>121631</v>
      </c>
      <c r="T91" s="35">
        <v>46112</v>
      </c>
      <c r="U91" s="33">
        <v>128049</v>
      </c>
      <c r="V91" s="36">
        <v>46195</v>
      </c>
      <c r="W91" s="6">
        <v>0</v>
      </c>
      <c r="X91" s="40" t="s">
        <v>30</v>
      </c>
      <c r="Z91" s="38"/>
      <c r="AA91" s="39"/>
    </row>
    <row r="92" spans="1:27" x14ac:dyDescent="0.25">
      <c r="A92" s="3" t="s">
        <v>202</v>
      </c>
      <c r="B92" s="2" t="s">
        <v>203</v>
      </c>
      <c r="C92" s="3">
        <v>69</v>
      </c>
      <c r="D92" s="33">
        <v>10182189</v>
      </c>
      <c r="E92" s="33">
        <v>3616911</v>
      </c>
      <c r="F92" s="33">
        <v>5615938</v>
      </c>
      <c r="G92" s="33">
        <v>949339</v>
      </c>
      <c r="H92" s="32">
        <v>6565277</v>
      </c>
      <c r="I92" s="33">
        <v>0</v>
      </c>
      <c r="J92" s="33">
        <v>4211954</v>
      </c>
      <c r="K92" s="33">
        <v>0</v>
      </c>
      <c r="L92" s="33">
        <v>644501</v>
      </c>
      <c r="M92" s="33">
        <v>0</v>
      </c>
      <c r="N92" s="34">
        <v>4856455</v>
      </c>
      <c r="O92" s="33">
        <v>1198617</v>
      </c>
      <c r="P92" s="35">
        <v>45929</v>
      </c>
      <c r="Q92" s="33">
        <v>1198617</v>
      </c>
      <c r="R92" s="35">
        <v>46020</v>
      </c>
      <c r="S92" s="33">
        <v>1198617</v>
      </c>
      <c r="T92" s="35">
        <v>46112</v>
      </c>
      <c r="U92" s="33">
        <v>1260604</v>
      </c>
      <c r="V92" s="36">
        <v>46195</v>
      </c>
      <c r="W92" s="6">
        <v>0</v>
      </c>
      <c r="X92" s="40" t="s">
        <v>30</v>
      </c>
      <c r="Z92" s="38"/>
      <c r="AA92" s="39"/>
    </row>
    <row r="93" spans="1:27" x14ac:dyDescent="0.25">
      <c r="A93" s="3" t="s">
        <v>204</v>
      </c>
      <c r="B93" s="2" t="s">
        <v>205</v>
      </c>
      <c r="C93" s="3">
        <v>9</v>
      </c>
      <c r="D93" s="33">
        <v>1034340</v>
      </c>
      <c r="E93" s="33">
        <v>471771</v>
      </c>
      <c r="F93" s="33">
        <v>292252</v>
      </c>
      <c r="G93" s="33">
        <v>270316</v>
      </c>
      <c r="H93" s="32">
        <v>562568</v>
      </c>
      <c r="I93" s="33">
        <v>0</v>
      </c>
      <c r="J93" s="33">
        <v>219189</v>
      </c>
      <c r="K93" s="33">
        <v>0</v>
      </c>
      <c r="L93" s="33">
        <v>183516</v>
      </c>
      <c r="M93" s="33">
        <v>-536</v>
      </c>
      <c r="N93" s="34">
        <v>402169</v>
      </c>
      <c r="O93" s="33">
        <v>96552</v>
      </c>
      <c r="P93" s="35">
        <v>45929</v>
      </c>
      <c r="Q93" s="33">
        <v>96552</v>
      </c>
      <c r="R93" s="35">
        <v>46020</v>
      </c>
      <c r="S93" s="33">
        <v>95708</v>
      </c>
      <c r="T93" s="35">
        <v>46112</v>
      </c>
      <c r="U93" s="33">
        <v>113357</v>
      </c>
      <c r="V93" s="36">
        <v>46195</v>
      </c>
      <c r="W93" s="6">
        <v>161357</v>
      </c>
      <c r="X93" s="40" t="s">
        <v>77</v>
      </c>
      <c r="Z93" s="38"/>
      <c r="AA93" s="39"/>
    </row>
    <row r="94" spans="1:27" x14ac:dyDescent="0.25">
      <c r="A94" s="3" t="s">
        <v>206</v>
      </c>
      <c r="B94" s="2" t="s">
        <v>207</v>
      </c>
      <c r="C94" s="3">
        <v>22</v>
      </c>
      <c r="D94" s="33">
        <v>3325837</v>
      </c>
      <c r="E94" s="33">
        <v>1153218</v>
      </c>
      <c r="F94" s="33">
        <v>1651395</v>
      </c>
      <c r="G94" s="33">
        <v>521224</v>
      </c>
      <c r="H94" s="32">
        <v>2172619</v>
      </c>
      <c r="I94" s="33">
        <v>0</v>
      </c>
      <c r="J94" s="33">
        <v>1238546</v>
      </c>
      <c r="K94" s="33">
        <v>0</v>
      </c>
      <c r="L94" s="33">
        <v>353856</v>
      </c>
      <c r="M94" s="33">
        <v>0</v>
      </c>
      <c r="N94" s="34">
        <v>1592402</v>
      </c>
      <c r="O94" s="33">
        <v>389592</v>
      </c>
      <c r="P94" s="35">
        <v>45929</v>
      </c>
      <c r="Q94" s="33">
        <v>389592</v>
      </c>
      <c r="R94" s="35">
        <v>46020</v>
      </c>
      <c r="S94" s="33">
        <v>389592</v>
      </c>
      <c r="T94" s="35">
        <v>46112</v>
      </c>
      <c r="U94" s="33">
        <v>423626</v>
      </c>
      <c r="V94" s="36">
        <v>46195</v>
      </c>
      <c r="W94" s="6">
        <v>0</v>
      </c>
      <c r="X94" s="40" t="s">
        <v>30</v>
      </c>
      <c r="Z94" s="38"/>
      <c r="AA94" s="39"/>
    </row>
    <row r="95" spans="1:27" x14ac:dyDescent="0.25">
      <c r="A95" s="3" t="s">
        <v>208</v>
      </c>
      <c r="B95" s="2" t="s">
        <v>209</v>
      </c>
      <c r="C95" s="3">
        <v>4</v>
      </c>
      <c r="D95" s="33">
        <v>589070</v>
      </c>
      <c r="E95" s="33">
        <v>209676</v>
      </c>
      <c r="F95" s="33">
        <v>297090</v>
      </c>
      <c r="G95" s="33">
        <v>82304</v>
      </c>
      <c r="H95" s="32">
        <v>379394</v>
      </c>
      <c r="I95" s="33">
        <v>0</v>
      </c>
      <c r="J95" s="33">
        <v>222818</v>
      </c>
      <c r="K95" s="33">
        <v>0</v>
      </c>
      <c r="L95" s="33">
        <v>55876</v>
      </c>
      <c r="M95" s="33">
        <v>0</v>
      </c>
      <c r="N95" s="34">
        <v>278694</v>
      </c>
      <c r="O95" s="33">
        <v>69134</v>
      </c>
      <c r="P95" s="35">
        <v>45929</v>
      </c>
      <c r="Q95" s="33">
        <v>69134</v>
      </c>
      <c r="R95" s="35">
        <v>46020</v>
      </c>
      <c r="S95" s="33">
        <v>67526</v>
      </c>
      <c r="T95" s="35">
        <v>46112</v>
      </c>
      <c r="U95" s="33">
        <v>72900</v>
      </c>
      <c r="V95" s="36">
        <v>46195</v>
      </c>
      <c r="W95" s="6">
        <v>72654</v>
      </c>
      <c r="X95" s="40" t="s">
        <v>77</v>
      </c>
      <c r="Z95" s="38"/>
      <c r="AA95" s="39"/>
    </row>
    <row r="96" spans="1:27" x14ac:dyDescent="0.25">
      <c r="A96" s="3" t="s">
        <v>210</v>
      </c>
      <c r="B96" s="2" t="s">
        <v>211</v>
      </c>
      <c r="C96" s="3">
        <v>82</v>
      </c>
      <c r="D96" s="33">
        <v>9540389</v>
      </c>
      <c r="E96" s="33">
        <v>4272149</v>
      </c>
      <c r="F96" s="33">
        <v>3836609</v>
      </c>
      <c r="G96" s="33">
        <v>1431632</v>
      </c>
      <c r="H96" s="32">
        <v>5268241</v>
      </c>
      <c r="I96" s="33">
        <v>68882</v>
      </c>
      <c r="J96" s="33">
        <v>2825795</v>
      </c>
      <c r="K96" s="33">
        <v>22136</v>
      </c>
      <c r="L96" s="33">
        <v>956899</v>
      </c>
      <c r="M96" s="33">
        <v>0</v>
      </c>
      <c r="N96" s="34">
        <v>3873712</v>
      </c>
      <c r="O96" s="33">
        <v>945420</v>
      </c>
      <c r="P96" s="35">
        <v>45929</v>
      </c>
      <c r="Q96" s="33">
        <v>945420</v>
      </c>
      <c r="R96" s="35">
        <v>46020</v>
      </c>
      <c r="S96" s="33">
        <v>945420</v>
      </c>
      <c r="T96" s="35">
        <v>46112</v>
      </c>
      <c r="U96" s="33">
        <v>1037452</v>
      </c>
      <c r="V96" s="36">
        <v>46195</v>
      </c>
      <c r="W96" s="6">
        <v>0</v>
      </c>
      <c r="X96" s="40" t="s">
        <v>30</v>
      </c>
      <c r="Z96" s="38"/>
      <c r="AA96" s="39"/>
    </row>
    <row r="97" spans="1:27" x14ac:dyDescent="0.25">
      <c r="A97" s="3" t="s">
        <v>212</v>
      </c>
      <c r="B97" s="2" t="s">
        <v>213</v>
      </c>
      <c r="C97" s="3">
        <v>179</v>
      </c>
      <c r="D97" s="33">
        <v>20270253</v>
      </c>
      <c r="E97" s="33">
        <v>9356792</v>
      </c>
      <c r="F97" s="33">
        <v>9104513</v>
      </c>
      <c r="G97" s="33">
        <v>1808949</v>
      </c>
      <c r="H97" s="32">
        <v>10913462</v>
      </c>
      <c r="I97" s="33">
        <v>12768</v>
      </c>
      <c r="J97" s="33">
        <v>6818809</v>
      </c>
      <c r="K97" s="33">
        <v>0</v>
      </c>
      <c r="L97" s="33">
        <v>1228086</v>
      </c>
      <c r="M97" s="33">
        <v>0</v>
      </c>
      <c r="N97" s="34">
        <v>8059663</v>
      </c>
      <c r="O97" s="33">
        <v>1985387</v>
      </c>
      <c r="P97" s="35">
        <v>45929</v>
      </c>
      <c r="Q97" s="33">
        <v>1985387</v>
      </c>
      <c r="R97" s="35">
        <v>46020</v>
      </c>
      <c r="S97" s="33">
        <v>1985387</v>
      </c>
      <c r="T97" s="35">
        <v>46112</v>
      </c>
      <c r="U97" s="33">
        <v>2103502</v>
      </c>
      <c r="V97" s="36">
        <v>46195</v>
      </c>
      <c r="W97" s="6">
        <v>0</v>
      </c>
      <c r="X97" s="40" t="s">
        <v>30</v>
      </c>
      <c r="Z97" s="38"/>
      <c r="AA97" s="39"/>
    </row>
    <row r="98" spans="1:27" x14ac:dyDescent="0.25">
      <c r="A98" s="3" t="s">
        <v>214</v>
      </c>
      <c r="B98" s="2" t="s">
        <v>215</v>
      </c>
      <c r="C98" s="3">
        <v>28</v>
      </c>
      <c r="D98" s="33">
        <v>3370940</v>
      </c>
      <c r="E98" s="33">
        <v>1467732</v>
      </c>
      <c r="F98" s="33">
        <v>1322199</v>
      </c>
      <c r="G98" s="33">
        <v>581008</v>
      </c>
      <c r="H98" s="32">
        <v>1903207</v>
      </c>
      <c r="I98" s="33">
        <v>0</v>
      </c>
      <c r="J98" s="33">
        <v>991649</v>
      </c>
      <c r="K98" s="33">
        <v>0</v>
      </c>
      <c r="L98" s="33">
        <v>394443</v>
      </c>
      <c r="M98" s="33">
        <v>0</v>
      </c>
      <c r="N98" s="34">
        <v>1386092</v>
      </c>
      <c r="O98" s="33">
        <v>337039</v>
      </c>
      <c r="P98" s="35">
        <v>45929</v>
      </c>
      <c r="Q98" s="33">
        <v>337039</v>
      </c>
      <c r="R98" s="35">
        <v>46020</v>
      </c>
      <c r="S98" s="33">
        <v>337039</v>
      </c>
      <c r="T98" s="35">
        <v>46112</v>
      </c>
      <c r="U98" s="33">
        <v>374975</v>
      </c>
      <c r="V98" s="36">
        <v>46195</v>
      </c>
      <c r="W98" s="6">
        <v>0</v>
      </c>
      <c r="X98" s="40" t="s">
        <v>30</v>
      </c>
      <c r="Z98" s="38"/>
      <c r="AA98" s="39"/>
    </row>
    <row r="99" spans="1:27" x14ac:dyDescent="0.25">
      <c r="A99" s="3" t="s">
        <v>216</v>
      </c>
      <c r="B99" s="2" t="s">
        <v>217</v>
      </c>
      <c r="C99" s="3">
        <v>18</v>
      </c>
      <c r="D99" s="33">
        <v>2550706</v>
      </c>
      <c r="E99" s="33">
        <v>943542</v>
      </c>
      <c r="F99" s="33">
        <v>1078823</v>
      </c>
      <c r="G99" s="33">
        <v>528341</v>
      </c>
      <c r="H99" s="32">
        <v>1607164</v>
      </c>
      <c r="I99" s="33">
        <v>0</v>
      </c>
      <c r="J99" s="33">
        <v>809117</v>
      </c>
      <c r="K99" s="33">
        <v>0</v>
      </c>
      <c r="L99" s="33">
        <v>358688</v>
      </c>
      <c r="M99" s="33">
        <v>0</v>
      </c>
      <c r="N99" s="34">
        <v>1167805</v>
      </c>
      <c r="O99" s="33">
        <v>283327</v>
      </c>
      <c r="P99" s="35">
        <v>45929</v>
      </c>
      <c r="Q99" s="33">
        <v>283327</v>
      </c>
      <c r="R99" s="35">
        <v>46020</v>
      </c>
      <c r="S99" s="33">
        <v>283327</v>
      </c>
      <c r="T99" s="35">
        <v>46112</v>
      </c>
      <c r="U99" s="33">
        <v>317824</v>
      </c>
      <c r="V99" s="36">
        <v>46195</v>
      </c>
      <c r="W99" s="6">
        <v>0</v>
      </c>
      <c r="X99" s="40" t="s">
        <v>30</v>
      </c>
      <c r="Z99" s="38"/>
      <c r="AA99" s="39"/>
    </row>
    <row r="100" spans="1:27" x14ac:dyDescent="0.25">
      <c r="A100" s="3" t="s">
        <v>218</v>
      </c>
      <c r="B100" s="2" t="s">
        <v>219</v>
      </c>
      <c r="C100" s="3">
        <v>29</v>
      </c>
      <c r="D100" s="33">
        <v>4077679</v>
      </c>
      <c r="E100" s="33">
        <v>1520151</v>
      </c>
      <c r="F100" s="33">
        <v>2239455</v>
      </c>
      <c r="G100" s="33">
        <v>318073</v>
      </c>
      <c r="H100" s="32">
        <v>2557528</v>
      </c>
      <c r="I100" s="33">
        <v>0</v>
      </c>
      <c r="J100" s="33">
        <v>1679591</v>
      </c>
      <c r="K100" s="33">
        <v>0</v>
      </c>
      <c r="L100" s="33">
        <v>215938</v>
      </c>
      <c r="M100" s="33">
        <v>0</v>
      </c>
      <c r="N100" s="34">
        <v>1895529</v>
      </c>
      <c r="O100" s="33">
        <v>468690</v>
      </c>
      <c r="P100" s="35">
        <v>45929</v>
      </c>
      <c r="Q100" s="33">
        <v>468690</v>
      </c>
      <c r="R100" s="35">
        <v>46020</v>
      </c>
      <c r="S100" s="33">
        <v>468690</v>
      </c>
      <c r="T100" s="35">
        <v>46112</v>
      </c>
      <c r="U100" s="33">
        <v>489459</v>
      </c>
      <c r="V100" s="36">
        <v>46195</v>
      </c>
      <c r="W100" s="6">
        <v>0</v>
      </c>
      <c r="X100" s="40" t="s">
        <v>30</v>
      </c>
      <c r="Z100" s="38"/>
      <c r="AA100" s="39"/>
    </row>
    <row r="101" spans="1:27" x14ac:dyDescent="0.25">
      <c r="A101" s="3" t="s">
        <v>220</v>
      </c>
      <c r="B101" s="2" t="s">
        <v>221</v>
      </c>
      <c r="C101" s="3">
        <v>107</v>
      </c>
      <c r="D101" s="33">
        <v>14765763</v>
      </c>
      <c r="E101" s="33">
        <v>5530205</v>
      </c>
      <c r="F101" s="33">
        <v>7105352</v>
      </c>
      <c r="G101" s="33">
        <v>2130207</v>
      </c>
      <c r="H101" s="32">
        <v>9235559</v>
      </c>
      <c r="I101" s="33">
        <v>1118567</v>
      </c>
      <c r="J101" s="33">
        <v>4490089</v>
      </c>
      <c r="K101" s="33">
        <v>131660</v>
      </c>
      <c r="L101" s="33">
        <v>1356803</v>
      </c>
      <c r="M101" s="33">
        <v>0</v>
      </c>
      <c r="N101" s="34">
        <v>7097119</v>
      </c>
      <c r="O101" s="33">
        <v>1741656</v>
      </c>
      <c r="P101" s="35">
        <v>45929</v>
      </c>
      <c r="Q101" s="33">
        <v>1741656</v>
      </c>
      <c r="R101" s="35">
        <v>46020</v>
      </c>
      <c r="S101" s="33">
        <v>1741656</v>
      </c>
      <c r="T101" s="35">
        <v>46112</v>
      </c>
      <c r="U101" s="33">
        <v>1872151</v>
      </c>
      <c r="V101" s="36">
        <v>46195</v>
      </c>
      <c r="W101" s="6">
        <v>0</v>
      </c>
      <c r="X101" s="40" t="s">
        <v>30</v>
      </c>
      <c r="Z101" s="38"/>
      <c r="AA101" s="39"/>
    </row>
    <row r="102" spans="1:27" x14ac:dyDescent="0.25">
      <c r="A102" s="3" t="s">
        <v>222</v>
      </c>
      <c r="B102" s="2" t="s">
        <v>223</v>
      </c>
      <c r="C102" s="3">
        <v>21</v>
      </c>
      <c r="D102" s="33">
        <v>2818493</v>
      </c>
      <c r="E102" s="33">
        <v>1048380</v>
      </c>
      <c r="F102" s="33">
        <v>1218033</v>
      </c>
      <c r="G102" s="33">
        <v>552079</v>
      </c>
      <c r="H102" s="32">
        <v>1770112</v>
      </c>
      <c r="I102" s="33">
        <v>0</v>
      </c>
      <c r="J102" s="33">
        <v>913525</v>
      </c>
      <c r="K102" s="33">
        <v>0</v>
      </c>
      <c r="L102" s="33">
        <v>374803</v>
      </c>
      <c r="M102" s="33">
        <v>0</v>
      </c>
      <c r="N102" s="34">
        <v>1288328</v>
      </c>
      <c r="O102" s="33">
        <v>313070</v>
      </c>
      <c r="P102" s="35">
        <v>45929</v>
      </c>
      <c r="Q102" s="33">
        <v>313070</v>
      </c>
      <c r="R102" s="35">
        <v>46020</v>
      </c>
      <c r="S102" s="33">
        <v>313070</v>
      </c>
      <c r="T102" s="35">
        <v>46112</v>
      </c>
      <c r="U102" s="33">
        <v>349118</v>
      </c>
      <c r="V102" s="36">
        <v>46195</v>
      </c>
      <c r="W102" s="6">
        <v>0</v>
      </c>
      <c r="X102" s="40" t="s">
        <v>30</v>
      </c>
      <c r="Z102" s="38"/>
      <c r="AA102" s="39"/>
    </row>
    <row r="103" spans="1:27" x14ac:dyDescent="0.25">
      <c r="A103" s="3" t="s">
        <v>224</v>
      </c>
      <c r="B103" s="2" t="s">
        <v>225</v>
      </c>
      <c r="C103" s="3">
        <v>9</v>
      </c>
      <c r="D103" s="33">
        <v>1257225</v>
      </c>
      <c r="E103" s="33">
        <v>471771</v>
      </c>
      <c r="F103" s="33">
        <v>645532</v>
      </c>
      <c r="G103" s="33">
        <v>139923</v>
      </c>
      <c r="H103" s="32">
        <v>785455</v>
      </c>
      <c r="I103" s="33">
        <v>0</v>
      </c>
      <c r="J103" s="33">
        <v>484149</v>
      </c>
      <c r="K103" s="33">
        <v>0</v>
      </c>
      <c r="L103" s="33">
        <v>94993</v>
      </c>
      <c r="M103" s="33">
        <v>0</v>
      </c>
      <c r="N103" s="34">
        <v>579142</v>
      </c>
      <c r="O103" s="33">
        <v>142502</v>
      </c>
      <c r="P103" s="35">
        <v>45929</v>
      </c>
      <c r="Q103" s="33">
        <v>142502</v>
      </c>
      <c r="R103" s="35">
        <v>46020</v>
      </c>
      <c r="S103" s="33">
        <v>142502</v>
      </c>
      <c r="T103" s="35">
        <v>46112</v>
      </c>
      <c r="U103" s="33">
        <v>151636</v>
      </c>
      <c r="V103" s="36">
        <v>46195</v>
      </c>
      <c r="W103" s="6">
        <v>0</v>
      </c>
      <c r="X103" s="40" t="s">
        <v>30</v>
      </c>
      <c r="Z103" s="38"/>
      <c r="AA103" s="39"/>
    </row>
    <row r="104" spans="1:27" x14ac:dyDescent="0.25">
      <c r="A104" s="3" t="s">
        <v>226</v>
      </c>
      <c r="B104" s="2" t="s">
        <v>227</v>
      </c>
      <c r="C104" s="3">
        <v>128</v>
      </c>
      <c r="D104" s="33">
        <v>18130449</v>
      </c>
      <c r="E104" s="33">
        <v>6604794</v>
      </c>
      <c r="F104" s="33">
        <v>8876201</v>
      </c>
      <c r="G104" s="33">
        <v>2649455</v>
      </c>
      <c r="H104" s="32">
        <v>11525656</v>
      </c>
      <c r="I104" s="33">
        <v>869993</v>
      </c>
      <c r="J104" s="33">
        <v>6004656</v>
      </c>
      <c r="K104" s="33">
        <v>319262</v>
      </c>
      <c r="L104" s="33">
        <v>1581956</v>
      </c>
      <c r="M104" s="33">
        <v>0</v>
      </c>
      <c r="N104" s="34">
        <v>8775867</v>
      </c>
      <c r="O104" s="33">
        <v>2155929</v>
      </c>
      <c r="P104" s="35">
        <v>45929</v>
      </c>
      <c r="Q104" s="33">
        <v>2155929</v>
      </c>
      <c r="R104" s="35">
        <v>46020</v>
      </c>
      <c r="S104" s="33">
        <v>2155929</v>
      </c>
      <c r="T104" s="35">
        <v>46112</v>
      </c>
      <c r="U104" s="33">
        <v>2308080</v>
      </c>
      <c r="V104" s="36">
        <v>46195</v>
      </c>
      <c r="W104" s="6">
        <v>0</v>
      </c>
      <c r="X104" s="40" t="s">
        <v>30</v>
      </c>
      <c r="Z104" s="38"/>
      <c r="AA104" s="39"/>
    </row>
    <row r="105" spans="1:27" x14ac:dyDescent="0.25">
      <c r="A105" s="3" t="s">
        <v>228</v>
      </c>
      <c r="B105" s="2" t="s">
        <v>229</v>
      </c>
      <c r="C105" s="3">
        <v>35</v>
      </c>
      <c r="D105" s="33">
        <v>3853950</v>
      </c>
      <c r="E105" s="33">
        <v>1834665</v>
      </c>
      <c r="F105" s="33">
        <v>1641084</v>
      </c>
      <c r="G105" s="33">
        <v>378201</v>
      </c>
      <c r="H105" s="32">
        <v>2019285</v>
      </c>
      <c r="I105" s="33">
        <v>0</v>
      </c>
      <c r="J105" s="33">
        <v>1230813</v>
      </c>
      <c r="K105" s="33">
        <v>0</v>
      </c>
      <c r="L105" s="33">
        <v>256759</v>
      </c>
      <c r="M105" s="33">
        <v>0</v>
      </c>
      <c r="N105" s="34">
        <v>1487572</v>
      </c>
      <c r="O105" s="33">
        <v>365719</v>
      </c>
      <c r="P105" s="35">
        <v>45929</v>
      </c>
      <c r="Q105" s="33">
        <v>365719</v>
      </c>
      <c r="R105" s="35">
        <v>46020</v>
      </c>
      <c r="S105" s="33">
        <v>365719</v>
      </c>
      <c r="T105" s="35">
        <v>46112</v>
      </c>
      <c r="U105" s="33">
        <v>390415</v>
      </c>
      <c r="V105" s="36">
        <v>46195</v>
      </c>
      <c r="W105" s="6">
        <v>0</v>
      </c>
      <c r="X105" s="40" t="s">
        <v>30</v>
      </c>
      <c r="Z105" s="38"/>
      <c r="AA105" s="39"/>
    </row>
    <row r="106" spans="1:27" x14ac:dyDescent="0.25">
      <c r="A106" s="3" t="s">
        <v>230</v>
      </c>
      <c r="B106" s="2" t="s">
        <v>231</v>
      </c>
      <c r="C106" s="3">
        <v>70</v>
      </c>
      <c r="D106" s="33">
        <v>12233579</v>
      </c>
      <c r="E106" s="33">
        <v>3669330</v>
      </c>
      <c r="F106" s="33">
        <v>5631047</v>
      </c>
      <c r="G106" s="33">
        <v>2933202</v>
      </c>
      <c r="H106" s="32">
        <v>8564249</v>
      </c>
      <c r="I106" s="33">
        <v>507029</v>
      </c>
      <c r="J106" s="33">
        <v>3843014</v>
      </c>
      <c r="K106" s="33">
        <v>120086</v>
      </c>
      <c r="L106" s="33">
        <v>1909809</v>
      </c>
      <c r="M106" s="33">
        <v>0</v>
      </c>
      <c r="N106" s="34">
        <v>6379938</v>
      </c>
      <c r="O106" s="33">
        <v>1549064</v>
      </c>
      <c r="P106" s="35">
        <v>45929</v>
      </c>
      <c r="Q106" s="33">
        <v>1549064</v>
      </c>
      <c r="R106" s="35">
        <v>46020</v>
      </c>
      <c r="S106" s="33">
        <v>1549064</v>
      </c>
      <c r="T106" s="35">
        <v>46112</v>
      </c>
      <c r="U106" s="33">
        <v>1732746</v>
      </c>
      <c r="V106" s="36">
        <v>46195</v>
      </c>
      <c r="W106" s="6">
        <v>0</v>
      </c>
      <c r="X106" s="40" t="s">
        <v>30</v>
      </c>
      <c r="Z106" s="38"/>
      <c r="AA106" s="39"/>
    </row>
    <row r="107" spans="1:27" x14ac:dyDescent="0.25">
      <c r="A107" s="3" t="s">
        <v>232</v>
      </c>
      <c r="B107" s="2" t="s">
        <v>233</v>
      </c>
      <c r="C107" s="3">
        <v>35</v>
      </c>
      <c r="D107" s="33">
        <v>5653572</v>
      </c>
      <c r="E107" s="33">
        <v>1703618</v>
      </c>
      <c r="F107" s="33">
        <v>3216382</v>
      </c>
      <c r="G107" s="33">
        <v>733572</v>
      </c>
      <c r="H107" s="32">
        <v>3949954</v>
      </c>
      <c r="I107" s="33">
        <v>0</v>
      </c>
      <c r="J107" s="33">
        <v>2412287</v>
      </c>
      <c r="K107" s="33">
        <v>0</v>
      </c>
      <c r="L107" s="33">
        <v>498018</v>
      </c>
      <c r="M107" s="33">
        <v>0</v>
      </c>
      <c r="N107" s="34">
        <v>2910305</v>
      </c>
      <c r="O107" s="33">
        <v>715602</v>
      </c>
      <c r="P107" s="35">
        <v>45929</v>
      </c>
      <c r="Q107" s="33">
        <v>715602</v>
      </c>
      <c r="R107" s="35">
        <v>46020</v>
      </c>
      <c r="S107" s="33">
        <v>715602</v>
      </c>
      <c r="T107" s="35">
        <v>46112</v>
      </c>
      <c r="U107" s="33">
        <v>763499</v>
      </c>
      <c r="V107" s="36">
        <v>46195</v>
      </c>
      <c r="W107" s="6">
        <v>0</v>
      </c>
      <c r="X107" s="40" t="s">
        <v>30</v>
      </c>
      <c r="Z107" s="38"/>
      <c r="AA107" s="39"/>
    </row>
    <row r="108" spans="1:27" x14ac:dyDescent="0.25">
      <c r="A108" s="3" t="s">
        <v>234</v>
      </c>
      <c r="B108" s="2" t="s">
        <v>235</v>
      </c>
      <c r="C108" s="3">
        <v>44</v>
      </c>
      <c r="D108" s="33">
        <v>5197552</v>
      </c>
      <c r="E108" s="33">
        <v>2254017</v>
      </c>
      <c r="F108" s="33">
        <v>2219423</v>
      </c>
      <c r="G108" s="33">
        <v>724111</v>
      </c>
      <c r="H108" s="32">
        <v>2943534</v>
      </c>
      <c r="I108" s="33">
        <v>0</v>
      </c>
      <c r="J108" s="33">
        <v>1664567</v>
      </c>
      <c r="K108" s="33">
        <v>0</v>
      </c>
      <c r="L108" s="33">
        <v>491595</v>
      </c>
      <c r="M108" s="33">
        <v>0</v>
      </c>
      <c r="N108" s="34">
        <v>2156162</v>
      </c>
      <c r="O108" s="33">
        <v>523853</v>
      </c>
      <c r="P108" s="35">
        <v>45929</v>
      </c>
      <c r="Q108" s="33">
        <v>523853</v>
      </c>
      <c r="R108" s="35">
        <v>46020</v>
      </c>
      <c r="S108" s="33">
        <v>530588</v>
      </c>
      <c r="T108" s="35">
        <v>46112</v>
      </c>
      <c r="U108" s="33">
        <v>577868</v>
      </c>
      <c r="V108" s="36">
        <v>46195</v>
      </c>
      <c r="W108" s="6">
        <v>0</v>
      </c>
      <c r="X108" s="40" t="s">
        <v>30</v>
      </c>
      <c r="Z108" s="38"/>
      <c r="AA108" s="39"/>
    </row>
    <row r="109" spans="1:27" x14ac:dyDescent="0.25">
      <c r="A109" s="3" t="s">
        <v>236</v>
      </c>
      <c r="B109" s="2" t="s">
        <v>237</v>
      </c>
      <c r="C109" s="3">
        <v>5</v>
      </c>
      <c r="D109" s="33">
        <v>583587</v>
      </c>
      <c r="E109" s="33">
        <v>262095</v>
      </c>
      <c r="F109" s="33">
        <v>134270</v>
      </c>
      <c r="G109" s="33">
        <v>187222</v>
      </c>
      <c r="H109" s="32">
        <v>321492</v>
      </c>
      <c r="I109" s="33">
        <v>0</v>
      </c>
      <c r="J109" s="33">
        <v>100703</v>
      </c>
      <c r="K109" s="33">
        <v>0</v>
      </c>
      <c r="L109" s="33">
        <v>127104</v>
      </c>
      <c r="M109" s="33">
        <v>0</v>
      </c>
      <c r="N109" s="34">
        <v>227807</v>
      </c>
      <c r="O109" s="33">
        <v>53896</v>
      </c>
      <c r="P109" s="35">
        <v>45929</v>
      </c>
      <c r="Q109" s="33">
        <v>53896</v>
      </c>
      <c r="R109" s="35">
        <v>46020</v>
      </c>
      <c r="S109" s="33">
        <v>53896</v>
      </c>
      <c r="T109" s="35">
        <v>46112</v>
      </c>
      <c r="U109" s="33">
        <v>66119</v>
      </c>
      <c r="V109" s="36">
        <v>46195</v>
      </c>
      <c r="W109" s="6">
        <v>0</v>
      </c>
      <c r="X109" s="40" t="s">
        <v>30</v>
      </c>
      <c r="Z109" s="38"/>
      <c r="AA109" s="39"/>
    </row>
    <row r="110" spans="1:27" x14ac:dyDescent="0.25">
      <c r="A110" s="3" t="s">
        <v>238</v>
      </c>
      <c r="B110" s="2" t="s">
        <v>239</v>
      </c>
      <c r="C110" s="3">
        <v>55</v>
      </c>
      <c r="D110" s="33">
        <v>7298123</v>
      </c>
      <c r="E110" s="33">
        <v>2804417</v>
      </c>
      <c r="F110" s="33">
        <v>3137864</v>
      </c>
      <c r="G110" s="33">
        <v>1355843</v>
      </c>
      <c r="H110" s="32">
        <v>4493707</v>
      </c>
      <c r="I110" s="33">
        <v>227260</v>
      </c>
      <c r="J110" s="33">
        <v>2182953</v>
      </c>
      <c r="K110" s="33">
        <v>50724</v>
      </c>
      <c r="L110" s="33">
        <v>886038</v>
      </c>
      <c r="M110" s="33">
        <v>0</v>
      </c>
      <c r="N110" s="34">
        <v>3346975</v>
      </c>
      <c r="O110" s="33">
        <v>805375</v>
      </c>
      <c r="P110" s="35">
        <v>45929</v>
      </c>
      <c r="Q110" s="33">
        <v>805375</v>
      </c>
      <c r="R110" s="35">
        <v>46020</v>
      </c>
      <c r="S110" s="33">
        <v>805375</v>
      </c>
      <c r="T110" s="35">
        <v>46112</v>
      </c>
      <c r="U110" s="33">
        <v>930850</v>
      </c>
      <c r="V110" s="36">
        <v>46195</v>
      </c>
      <c r="W110" s="6">
        <v>0</v>
      </c>
      <c r="X110" s="40" t="s">
        <v>30</v>
      </c>
      <c r="Z110" s="38"/>
      <c r="AA110" s="39"/>
    </row>
    <row r="111" spans="1:27" x14ac:dyDescent="0.25">
      <c r="A111" s="3" t="s">
        <v>240</v>
      </c>
      <c r="B111" s="2" t="s">
        <v>241</v>
      </c>
      <c r="C111" s="3">
        <v>37</v>
      </c>
      <c r="D111" s="33">
        <v>5364540</v>
      </c>
      <c r="E111" s="33">
        <v>1939503</v>
      </c>
      <c r="F111" s="33">
        <v>2310115</v>
      </c>
      <c r="G111" s="33">
        <v>1114922</v>
      </c>
      <c r="H111" s="32">
        <v>3425037</v>
      </c>
      <c r="I111" s="33">
        <v>0</v>
      </c>
      <c r="J111" s="33">
        <v>1732586</v>
      </c>
      <c r="K111" s="33">
        <v>0</v>
      </c>
      <c r="L111" s="33">
        <v>756915</v>
      </c>
      <c r="M111" s="33">
        <v>0</v>
      </c>
      <c r="N111" s="34">
        <v>2489501</v>
      </c>
      <c r="O111" s="33">
        <v>604176</v>
      </c>
      <c r="P111" s="35">
        <v>45929</v>
      </c>
      <c r="Q111" s="33">
        <v>604176</v>
      </c>
      <c r="R111" s="35">
        <v>46020</v>
      </c>
      <c r="S111" s="33">
        <v>604176</v>
      </c>
      <c r="T111" s="35">
        <v>46112</v>
      </c>
      <c r="U111" s="33">
        <v>676973</v>
      </c>
      <c r="V111" s="36">
        <v>46195</v>
      </c>
      <c r="W111" s="6">
        <v>0</v>
      </c>
      <c r="X111" s="40" t="s">
        <v>30</v>
      </c>
      <c r="Z111" s="38"/>
      <c r="AA111" s="39"/>
    </row>
    <row r="112" spans="1:27" x14ac:dyDescent="0.25">
      <c r="A112" s="3" t="s">
        <v>242</v>
      </c>
      <c r="B112" s="2" t="s">
        <v>243</v>
      </c>
      <c r="C112" s="3">
        <v>14</v>
      </c>
      <c r="D112" s="33">
        <v>1392059</v>
      </c>
      <c r="E112" s="33">
        <v>733866</v>
      </c>
      <c r="F112" s="33">
        <v>370150</v>
      </c>
      <c r="G112" s="33">
        <v>288044</v>
      </c>
      <c r="H112" s="32">
        <v>658194</v>
      </c>
      <c r="I112" s="33">
        <v>32962</v>
      </c>
      <c r="J112" s="33">
        <v>252891</v>
      </c>
      <c r="K112" s="33">
        <v>29498</v>
      </c>
      <c r="L112" s="33">
        <v>175526</v>
      </c>
      <c r="M112" s="33">
        <v>0</v>
      </c>
      <c r="N112" s="34">
        <v>490877</v>
      </c>
      <c r="O112" s="33">
        <v>118499</v>
      </c>
      <c r="P112" s="35">
        <v>45929</v>
      </c>
      <c r="Q112" s="33">
        <v>118499</v>
      </c>
      <c r="R112" s="35">
        <v>46020</v>
      </c>
      <c r="S112" s="33">
        <v>118499</v>
      </c>
      <c r="T112" s="35">
        <v>46112</v>
      </c>
      <c r="U112" s="33">
        <v>135380</v>
      </c>
      <c r="V112" s="36">
        <v>46195</v>
      </c>
      <c r="W112" s="6">
        <v>0</v>
      </c>
      <c r="X112" s="40" t="s">
        <v>30</v>
      </c>
      <c r="Z112" s="38"/>
      <c r="AA112" s="39"/>
    </row>
    <row r="113" spans="1:27" x14ac:dyDescent="0.25">
      <c r="A113" s="3" t="s">
        <v>244</v>
      </c>
      <c r="B113" s="2" t="s">
        <v>245</v>
      </c>
      <c r="C113" s="3">
        <v>5</v>
      </c>
      <c r="D113" s="33">
        <v>529891</v>
      </c>
      <c r="E113" s="33">
        <v>262095</v>
      </c>
      <c r="F113" s="33">
        <v>131746</v>
      </c>
      <c r="G113" s="33">
        <v>136049</v>
      </c>
      <c r="H113" s="32">
        <v>267795</v>
      </c>
      <c r="I113" s="33">
        <v>0</v>
      </c>
      <c r="J113" s="33">
        <v>98810</v>
      </c>
      <c r="K113" s="33">
        <v>0</v>
      </c>
      <c r="L113" s="33">
        <v>92363</v>
      </c>
      <c r="M113" s="33">
        <v>0</v>
      </c>
      <c r="N113" s="34">
        <v>191173</v>
      </c>
      <c r="O113" s="33">
        <v>45573</v>
      </c>
      <c r="P113" s="35">
        <v>45929</v>
      </c>
      <c r="Q113" s="33">
        <v>45573</v>
      </c>
      <c r="R113" s="35">
        <v>46020</v>
      </c>
      <c r="S113" s="33">
        <v>45573</v>
      </c>
      <c r="T113" s="35">
        <v>46112</v>
      </c>
      <c r="U113" s="33">
        <v>54454</v>
      </c>
      <c r="V113" s="36">
        <v>46195</v>
      </c>
      <c r="W113" s="6">
        <v>0</v>
      </c>
      <c r="X113" s="40" t="s">
        <v>30</v>
      </c>
      <c r="Z113" s="38"/>
      <c r="AA113" s="39"/>
    </row>
    <row r="114" spans="1:27" x14ac:dyDescent="0.25">
      <c r="A114" s="3" t="s">
        <v>246</v>
      </c>
      <c r="B114" s="2" t="s">
        <v>247</v>
      </c>
      <c r="C114" s="3">
        <v>25</v>
      </c>
      <c r="D114" s="33">
        <v>3545953</v>
      </c>
      <c r="E114" s="33">
        <v>1310475</v>
      </c>
      <c r="F114" s="33">
        <v>1547059</v>
      </c>
      <c r="G114" s="33">
        <v>688418</v>
      </c>
      <c r="H114" s="32">
        <v>2235477</v>
      </c>
      <c r="I114" s="33">
        <v>0</v>
      </c>
      <c r="J114" s="33">
        <v>1160294</v>
      </c>
      <c r="K114" s="33">
        <v>0</v>
      </c>
      <c r="L114" s="33">
        <v>467363</v>
      </c>
      <c r="M114" s="33">
        <v>0</v>
      </c>
      <c r="N114" s="34">
        <v>1627657</v>
      </c>
      <c r="O114" s="33">
        <v>384986</v>
      </c>
      <c r="P114" s="35">
        <v>45929</v>
      </c>
      <c r="Q114" s="33">
        <v>384986</v>
      </c>
      <c r="R114" s="35">
        <v>46020</v>
      </c>
      <c r="S114" s="33">
        <v>384986</v>
      </c>
      <c r="T114" s="35">
        <v>46112</v>
      </c>
      <c r="U114" s="33">
        <v>472699</v>
      </c>
      <c r="V114" s="36">
        <v>46195</v>
      </c>
      <c r="W114" s="6">
        <v>0</v>
      </c>
      <c r="X114" s="40" t="s">
        <v>30</v>
      </c>
      <c r="Z114" s="38"/>
      <c r="AA114" s="39"/>
    </row>
    <row r="115" spans="1:27" x14ac:dyDescent="0.25">
      <c r="A115" s="3" t="s">
        <v>248</v>
      </c>
      <c r="B115" s="2" t="s">
        <v>249</v>
      </c>
      <c r="C115" s="3">
        <v>17</v>
      </c>
      <c r="D115" s="33">
        <v>2377037</v>
      </c>
      <c r="E115" s="33">
        <v>891123</v>
      </c>
      <c r="F115" s="33">
        <v>1058173</v>
      </c>
      <c r="G115" s="33">
        <v>427741</v>
      </c>
      <c r="H115" s="32">
        <v>1485914</v>
      </c>
      <c r="I115" s="33">
        <v>0</v>
      </c>
      <c r="J115" s="33">
        <v>793630</v>
      </c>
      <c r="K115" s="33">
        <v>0</v>
      </c>
      <c r="L115" s="33">
        <v>290391</v>
      </c>
      <c r="M115" s="33">
        <v>0</v>
      </c>
      <c r="N115" s="34">
        <v>1084021</v>
      </c>
      <c r="O115" s="33">
        <v>264023</v>
      </c>
      <c r="P115" s="35">
        <v>45929</v>
      </c>
      <c r="Q115" s="33">
        <v>264023</v>
      </c>
      <c r="R115" s="35">
        <v>46020</v>
      </c>
      <c r="S115" s="33">
        <v>264023</v>
      </c>
      <c r="T115" s="35">
        <v>46112</v>
      </c>
      <c r="U115" s="33">
        <v>291952</v>
      </c>
      <c r="V115" s="36">
        <v>46195</v>
      </c>
      <c r="W115" s="6">
        <v>0</v>
      </c>
      <c r="X115" s="40" t="s">
        <v>30</v>
      </c>
      <c r="Z115" s="38"/>
      <c r="AA115" s="39"/>
    </row>
    <row r="116" spans="1:27" x14ac:dyDescent="0.25">
      <c r="A116" s="3" t="s">
        <v>250</v>
      </c>
      <c r="B116" s="2" t="s">
        <v>251</v>
      </c>
      <c r="C116" s="3">
        <v>43</v>
      </c>
      <c r="D116" s="33">
        <v>6610755</v>
      </c>
      <c r="E116" s="33">
        <v>2201598</v>
      </c>
      <c r="F116" s="33">
        <v>3051512</v>
      </c>
      <c r="G116" s="33">
        <v>1357645</v>
      </c>
      <c r="H116" s="32">
        <v>4409157</v>
      </c>
      <c r="I116" s="33">
        <v>0</v>
      </c>
      <c r="J116" s="33">
        <v>2288634</v>
      </c>
      <c r="K116" s="33">
        <v>0</v>
      </c>
      <c r="L116" s="33">
        <v>921698</v>
      </c>
      <c r="M116" s="33">
        <v>0</v>
      </c>
      <c r="N116" s="34">
        <v>3210332</v>
      </c>
      <c r="O116" s="33">
        <v>780421</v>
      </c>
      <c r="P116" s="35">
        <v>45929</v>
      </c>
      <c r="Q116" s="33">
        <v>780421</v>
      </c>
      <c r="R116" s="35">
        <v>46030</v>
      </c>
      <c r="S116" s="33">
        <v>780421</v>
      </c>
      <c r="T116" s="35">
        <v>46112</v>
      </c>
      <c r="U116" s="33">
        <v>869069</v>
      </c>
      <c r="V116" s="36">
        <v>46195</v>
      </c>
      <c r="W116" s="6">
        <v>0</v>
      </c>
      <c r="X116" s="40" t="s">
        <v>30</v>
      </c>
      <c r="Z116" s="38"/>
      <c r="AA116" s="39"/>
    </row>
    <row r="117" spans="1:27" x14ac:dyDescent="0.25">
      <c r="A117" s="3" t="s">
        <v>252</v>
      </c>
      <c r="B117" s="2" t="s">
        <v>253</v>
      </c>
      <c r="C117" s="3">
        <v>30</v>
      </c>
      <c r="D117" s="33">
        <v>3383071</v>
      </c>
      <c r="E117" s="33">
        <v>1546361</v>
      </c>
      <c r="F117" s="33">
        <v>1051305</v>
      </c>
      <c r="G117" s="33">
        <v>785405</v>
      </c>
      <c r="H117" s="32">
        <v>1836710</v>
      </c>
      <c r="I117" s="33">
        <v>0</v>
      </c>
      <c r="J117" s="33">
        <v>788479</v>
      </c>
      <c r="K117" s="33">
        <v>0</v>
      </c>
      <c r="L117" s="33">
        <v>533207</v>
      </c>
      <c r="M117" s="33">
        <v>0</v>
      </c>
      <c r="N117" s="34">
        <v>1321686</v>
      </c>
      <c r="O117" s="33">
        <v>317601</v>
      </c>
      <c r="P117" s="35">
        <v>45929</v>
      </c>
      <c r="Q117" s="33">
        <v>317601</v>
      </c>
      <c r="R117" s="35">
        <v>46020</v>
      </c>
      <c r="S117" s="33">
        <v>317601</v>
      </c>
      <c r="T117" s="35">
        <v>46112</v>
      </c>
      <c r="U117" s="33">
        <v>368883</v>
      </c>
      <c r="V117" s="36">
        <v>46195</v>
      </c>
      <c r="W117" s="6">
        <v>202570</v>
      </c>
      <c r="X117" s="40" t="s">
        <v>77</v>
      </c>
      <c r="Z117" s="38"/>
      <c r="AA117" s="39"/>
    </row>
    <row r="118" spans="1:27" x14ac:dyDescent="0.25">
      <c r="A118" s="3" t="s">
        <v>254</v>
      </c>
      <c r="B118" s="2" t="s">
        <v>255</v>
      </c>
      <c r="C118" s="3">
        <v>45</v>
      </c>
      <c r="D118" s="33">
        <v>5015416</v>
      </c>
      <c r="E118" s="33">
        <v>2280227</v>
      </c>
      <c r="F118" s="33">
        <v>1626457</v>
      </c>
      <c r="G118" s="33">
        <v>1108733</v>
      </c>
      <c r="H118" s="32">
        <v>2735190</v>
      </c>
      <c r="I118" s="33">
        <v>0</v>
      </c>
      <c r="J118" s="33">
        <v>1219843</v>
      </c>
      <c r="K118" s="33">
        <v>0</v>
      </c>
      <c r="L118" s="33">
        <v>752713</v>
      </c>
      <c r="M118" s="33">
        <v>0</v>
      </c>
      <c r="N118" s="34">
        <v>1972556</v>
      </c>
      <c r="O118" s="33">
        <v>475041</v>
      </c>
      <c r="P118" s="35">
        <v>45929</v>
      </c>
      <c r="Q118" s="33">
        <v>475041</v>
      </c>
      <c r="R118" s="35">
        <v>46020</v>
      </c>
      <c r="S118" s="33">
        <v>475041</v>
      </c>
      <c r="T118" s="35">
        <v>46112</v>
      </c>
      <c r="U118" s="33">
        <v>547433</v>
      </c>
      <c r="V118" s="36">
        <v>46195</v>
      </c>
      <c r="W118" s="6">
        <v>197190</v>
      </c>
      <c r="X118" s="40" t="s">
        <v>77</v>
      </c>
      <c r="Z118" s="38"/>
      <c r="AA118" s="39"/>
    </row>
    <row r="119" spans="1:27" x14ac:dyDescent="0.25">
      <c r="A119" s="3" t="s">
        <v>256</v>
      </c>
      <c r="B119" s="2" t="s">
        <v>257</v>
      </c>
      <c r="C119" s="3">
        <v>158</v>
      </c>
      <c r="D119" s="33">
        <v>22936795</v>
      </c>
      <c r="E119" s="33">
        <v>8282202</v>
      </c>
      <c r="F119" s="33">
        <v>11413809</v>
      </c>
      <c r="G119" s="33">
        <v>3240783</v>
      </c>
      <c r="H119" s="32">
        <v>14654592</v>
      </c>
      <c r="I119" s="33">
        <v>0</v>
      </c>
      <c r="J119" s="33">
        <v>8560357</v>
      </c>
      <c r="K119" s="33">
        <v>0</v>
      </c>
      <c r="L119" s="33">
        <v>2200150</v>
      </c>
      <c r="M119" s="33">
        <v>0</v>
      </c>
      <c r="N119" s="34">
        <v>10760507</v>
      </c>
      <c r="O119" s="33">
        <v>2637226</v>
      </c>
      <c r="P119" s="35">
        <v>45929</v>
      </c>
      <c r="Q119" s="33">
        <v>2637226</v>
      </c>
      <c r="R119" s="35">
        <v>46020</v>
      </c>
      <c r="S119" s="33">
        <v>2637226</v>
      </c>
      <c r="T119" s="35">
        <v>46112</v>
      </c>
      <c r="U119" s="33">
        <v>2848829</v>
      </c>
      <c r="V119" s="36">
        <v>46195</v>
      </c>
      <c r="W119" s="6">
        <v>0</v>
      </c>
      <c r="X119" s="40" t="s">
        <v>30</v>
      </c>
      <c r="Z119" s="38"/>
      <c r="AA119" s="39"/>
    </row>
    <row r="120" spans="1:27" x14ac:dyDescent="0.25">
      <c r="A120" s="3" t="s">
        <v>258</v>
      </c>
      <c r="B120" s="2" t="s">
        <v>259</v>
      </c>
      <c r="C120" s="3">
        <v>26</v>
      </c>
      <c r="D120" s="33">
        <v>4994649</v>
      </c>
      <c r="E120" s="33">
        <v>1362894</v>
      </c>
      <c r="F120" s="33">
        <v>2879313</v>
      </c>
      <c r="G120" s="33">
        <v>752442</v>
      </c>
      <c r="H120" s="32">
        <v>3631755</v>
      </c>
      <c r="I120" s="33">
        <v>0</v>
      </c>
      <c r="J120" s="33">
        <v>2159485</v>
      </c>
      <c r="K120" s="33">
        <v>0</v>
      </c>
      <c r="L120" s="33">
        <v>510829</v>
      </c>
      <c r="M120" s="33">
        <v>-21119</v>
      </c>
      <c r="N120" s="34">
        <v>2649195</v>
      </c>
      <c r="O120" s="33">
        <v>650016</v>
      </c>
      <c r="P120" s="35">
        <v>45929</v>
      </c>
      <c r="Q120" s="33">
        <v>650016</v>
      </c>
      <c r="R120" s="35">
        <v>46020</v>
      </c>
      <c r="S120" s="33">
        <v>650016</v>
      </c>
      <c r="T120" s="35">
        <v>46112</v>
      </c>
      <c r="U120" s="33">
        <v>699147</v>
      </c>
      <c r="V120" s="36">
        <v>46195</v>
      </c>
      <c r="W120" s="6">
        <v>0</v>
      </c>
      <c r="X120" s="40" t="s">
        <v>30</v>
      </c>
      <c r="Z120" s="38"/>
      <c r="AA120" s="39"/>
    </row>
    <row r="121" spans="1:27" x14ac:dyDescent="0.25">
      <c r="A121" s="3" t="s">
        <v>260</v>
      </c>
      <c r="B121" s="2" t="s">
        <v>261</v>
      </c>
      <c r="C121" s="3">
        <v>6</v>
      </c>
      <c r="D121" s="33">
        <v>667207</v>
      </c>
      <c r="E121" s="33">
        <v>314514</v>
      </c>
      <c r="F121" s="33">
        <v>154235</v>
      </c>
      <c r="G121" s="33">
        <v>198458</v>
      </c>
      <c r="H121" s="32">
        <v>352693</v>
      </c>
      <c r="I121" s="33">
        <v>0</v>
      </c>
      <c r="J121" s="33">
        <v>115676</v>
      </c>
      <c r="K121" s="33">
        <v>0</v>
      </c>
      <c r="L121" s="33">
        <v>134732</v>
      </c>
      <c r="M121" s="33">
        <v>0</v>
      </c>
      <c r="N121" s="34">
        <v>250408</v>
      </c>
      <c r="O121" s="33">
        <v>59363</v>
      </c>
      <c r="P121" s="35">
        <v>45929</v>
      </c>
      <c r="Q121" s="33">
        <v>59363</v>
      </c>
      <c r="R121" s="35">
        <v>46020</v>
      </c>
      <c r="S121" s="33">
        <v>59363</v>
      </c>
      <c r="T121" s="35">
        <v>46112</v>
      </c>
      <c r="U121" s="33">
        <v>72319</v>
      </c>
      <c r="V121" s="36">
        <v>46195</v>
      </c>
      <c r="W121" s="6">
        <v>0</v>
      </c>
      <c r="X121" s="40" t="s">
        <v>30</v>
      </c>
      <c r="Z121" s="38"/>
      <c r="AA121" s="39"/>
    </row>
    <row r="122" spans="1:27" x14ac:dyDescent="0.25">
      <c r="A122" s="3" t="s">
        <v>262</v>
      </c>
      <c r="B122" s="2" t="s">
        <v>263</v>
      </c>
      <c r="C122" s="3">
        <v>56</v>
      </c>
      <c r="D122" s="33">
        <v>8362097</v>
      </c>
      <c r="E122" s="33">
        <v>2935464</v>
      </c>
      <c r="F122" s="33">
        <v>3464005</v>
      </c>
      <c r="G122" s="33">
        <v>1962627</v>
      </c>
      <c r="H122" s="32">
        <v>5426632</v>
      </c>
      <c r="I122" s="33">
        <v>57346</v>
      </c>
      <c r="J122" s="33">
        <v>2554994</v>
      </c>
      <c r="K122" s="33">
        <v>104149</v>
      </c>
      <c r="L122" s="33">
        <v>1261711</v>
      </c>
      <c r="M122" s="33">
        <v>0</v>
      </c>
      <c r="N122" s="34">
        <v>3978200</v>
      </c>
      <c r="O122" s="33">
        <v>971948</v>
      </c>
      <c r="P122" s="35">
        <v>45929</v>
      </c>
      <c r="Q122" s="33">
        <v>971948</v>
      </c>
      <c r="R122" s="35">
        <v>46020</v>
      </c>
      <c r="S122" s="33">
        <v>956479</v>
      </c>
      <c r="T122" s="35">
        <v>46112</v>
      </c>
      <c r="U122" s="33">
        <v>1077825</v>
      </c>
      <c r="V122" s="36">
        <v>46195</v>
      </c>
      <c r="W122" s="6">
        <v>0</v>
      </c>
      <c r="X122" s="40" t="s">
        <v>30</v>
      </c>
      <c r="Z122" s="38"/>
      <c r="AA122" s="39"/>
    </row>
    <row r="123" spans="1:27" x14ac:dyDescent="0.25">
      <c r="A123" s="3" t="s">
        <v>264</v>
      </c>
      <c r="B123" s="2" t="s">
        <v>265</v>
      </c>
      <c r="C123" s="3">
        <v>15</v>
      </c>
      <c r="D123" s="33">
        <v>2121422</v>
      </c>
      <c r="E123" s="33">
        <v>733866</v>
      </c>
      <c r="F123" s="33">
        <v>901064</v>
      </c>
      <c r="G123" s="33">
        <v>486492</v>
      </c>
      <c r="H123" s="32">
        <v>1387556</v>
      </c>
      <c r="I123" s="33">
        <v>0</v>
      </c>
      <c r="J123" s="33">
        <v>675798</v>
      </c>
      <c r="K123" s="33">
        <v>0</v>
      </c>
      <c r="L123" s="33">
        <v>330277</v>
      </c>
      <c r="M123" s="33">
        <v>0</v>
      </c>
      <c r="N123" s="34">
        <v>1006075</v>
      </c>
      <c r="O123" s="33">
        <v>239301</v>
      </c>
      <c r="P123" s="35">
        <v>45929</v>
      </c>
      <c r="Q123" s="33">
        <v>239301</v>
      </c>
      <c r="R123" s="35">
        <v>46020</v>
      </c>
      <c r="S123" s="33">
        <v>239301</v>
      </c>
      <c r="T123" s="35">
        <v>46112</v>
      </c>
      <c r="U123" s="33">
        <v>288172</v>
      </c>
      <c r="V123" s="36">
        <v>46195</v>
      </c>
      <c r="W123" s="6">
        <v>0</v>
      </c>
      <c r="X123" s="40" t="s">
        <v>30</v>
      </c>
      <c r="Z123" s="38"/>
      <c r="AA123" s="39"/>
    </row>
    <row r="124" spans="1:27" x14ac:dyDescent="0.25">
      <c r="A124" s="3" t="s">
        <v>266</v>
      </c>
      <c r="B124" s="2" t="s">
        <v>267</v>
      </c>
      <c r="C124" s="3">
        <v>19</v>
      </c>
      <c r="D124" s="33">
        <v>2329145</v>
      </c>
      <c r="E124" s="33">
        <v>995961</v>
      </c>
      <c r="F124" s="33">
        <v>1065166</v>
      </c>
      <c r="G124" s="33">
        <v>268017</v>
      </c>
      <c r="H124" s="32">
        <v>1333183</v>
      </c>
      <c r="I124" s="33">
        <v>0</v>
      </c>
      <c r="J124" s="33">
        <v>798875</v>
      </c>
      <c r="K124" s="33">
        <v>0</v>
      </c>
      <c r="L124" s="33">
        <v>181955</v>
      </c>
      <c r="M124" s="33">
        <v>0</v>
      </c>
      <c r="N124" s="34">
        <v>980830</v>
      </c>
      <c r="O124" s="33">
        <v>240833</v>
      </c>
      <c r="P124" s="35">
        <v>45929</v>
      </c>
      <c r="Q124" s="33">
        <v>240833</v>
      </c>
      <c r="R124" s="35">
        <v>46020</v>
      </c>
      <c r="S124" s="33">
        <v>240833</v>
      </c>
      <c r="T124" s="35">
        <v>46112</v>
      </c>
      <c r="U124" s="33">
        <v>258331</v>
      </c>
      <c r="V124" s="36">
        <v>46195</v>
      </c>
      <c r="W124" s="6">
        <v>0</v>
      </c>
      <c r="X124" s="40" t="s">
        <v>30</v>
      </c>
      <c r="Z124" s="38"/>
      <c r="AA124" s="39"/>
    </row>
    <row r="125" spans="1:27" x14ac:dyDescent="0.25">
      <c r="A125" s="3" t="s">
        <v>268</v>
      </c>
      <c r="B125" s="2" t="s">
        <v>269</v>
      </c>
      <c r="C125" s="3">
        <v>55</v>
      </c>
      <c r="D125" s="33">
        <v>7864144</v>
      </c>
      <c r="E125" s="33">
        <v>2804417</v>
      </c>
      <c r="F125" s="33">
        <v>3155330</v>
      </c>
      <c r="G125" s="33">
        <v>1904397</v>
      </c>
      <c r="H125" s="32">
        <v>5059727</v>
      </c>
      <c r="I125" s="33">
        <v>38691</v>
      </c>
      <c r="J125" s="33">
        <v>2337479</v>
      </c>
      <c r="K125" s="33">
        <v>0</v>
      </c>
      <c r="L125" s="33">
        <v>1292885</v>
      </c>
      <c r="M125" s="33">
        <v>0</v>
      </c>
      <c r="N125" s="34">
        <v>3669055</v>
      </c>
      <c r="O125" s="33">
        <v>886177</v>
      </c>
      <c r="P125" s="35">
        <v>45929</v>
      </c>
      <c r="Q125" s="33">
        <v>886177</v>
      </c>
      <c r="R125" s="35">
        <v>46020</v>
      </c>
      <c r="S125" s="33">
        <v>886177</v>
      </c>
      <c r="T125" s="35">
        <v>46112</v>
      </c>
      <c r="U125" s="33">
        <v>1010524</v>
      </c>
      <c r="V125" s="36">
        <v>46195</v>
      </c>
      <c r="W125" s="6">
        <v>0</v>
      </c>
      <c r="X125" s="40" t="s">
        <v>30</v>
      </c>
      <c r="Z125" s="38"/>
      <c r="AA125" s="39"/>
    </row>
    <row r="126" spans="1:27" x14ac:dyDescent="0.25">
      <c r="A126" s="3" t="s">
        <v>270</v>
      </c>
      <c r="B126" s="2" t="s">
        <v>271</v>
      </c>
      <c r="C126" s="3">
        <v>14</v>
      </c>
      <c r="D126" s="33">
        <v>1326880</v>
      </c>
      <c r="E126" s="33">
        <v>681447</v>
      </c>
      <c r="F126" s="33">
        <v>387633</v>
      </c>
      <c r="G126" s="33">
        <v>257800</v>
      </c>
      <c r="H126" s="32">
        <v>645433</v>
      </c>
      <c r="I126" s="33">
        <v>0</v>
      </c>
      <c r="J126" s="33">
        <v>290725</v>
      </c>
      <c r="K126" s="33">
        <v>0</v>
      </c>
      <c r="L126" s="33">
        <v>175019</v>
      </c>
      <c r="M126" s="33">
        <v>0</v>
      </c>
      <c r="N126" s="34">
        <v>465744</v>
      </c>
      <c r="O126" s="33">
        <v>112228</v>
      </c>
      <c r="P126" s="35">
        <v>45929</v>
      </c>
      <c r="Q126" s="33">
        <v>112228</v>
      </c>
      <c r="R126" s="35">
        <v>46020</v>
      </c>
      <c r="S126" s="33">
        <v>112228</v>
      </c>
      <c r="T126" s="35">
        <v>46112</v>
      </c>
      <c r="U126" s="33">
        <v>129060</v>
      </c>
      <c r="V126" s="36">
        <v>46195</v>
      </c>
      <c r="W126" s="6">
        <v>0</v>
      </c>
      <c r="X126" s="40" t="s">
        <v>30</v>
      </c>
      <c r="Z126" s="38"/>
      <c r="AA126" s="39"/>
    </row>
    <row r="127" spans="1:27" x14ac:dyDescent="0.25">
      <c r="A127" s="3" t="s">
        <v>272</v>
      </c>
      <c r="B127" s="2" t="s">
        <v>273</v>
      </c>
      <c r="C127" s="3">
        <v>5</v>
      </c>
      <c r="D127" s="33">
        <v>549502</v>
      </c>
      <c r="E127" s="33">
        <v>262095</v>
      </c>
      <c r="F127" s="33">
        <v>154279</v>
      </c>
      <c r="G127" s="33">
        <v>133129</v>
      </c>
      <c r="H127" s="32">
        <v>287408</v>
      </c>
      <c r="I127" s="33">
        <v>0</v>
      </c>
      <c r="J127" s="33">
        <v>115709</v>
      </c>
      <c r="K127" s="33">
        <v>0</v>
      </c>
      <c r="L127" s="33">
        <v>90381</v>
      </c>
      <c r="M127" s="33">
        <v>0</v>
      </c>
      <c r="N127" s="34">
        <v>206090</v>
      </c>
      <c r="O127" s="33">
        <v>49349</v>
      </c>
      <c r="P127" s="35">
        <v>45929</v>
      </c>
      <c r="Q127" s="33">
        <v>49349</v>
      </c>
      <c r="R127" s="35">
        <v>46020</v>
      </c>
      <c r="S127" s="33">
        <v>49349</v>
      </c>
      <c r="T127" s="35">
        <v>46112</v>
      </c>
      <c r="U127" s="33">
        <v>58043</v>
      </c>
      <c r="V127" s="36">
        <v>46195</v>
      </c>
      <c r="W127" s="6">
        <v>128149</v>
      </c>
      <c r="X127" s="40" t="s">
        <v>77</v>
      </c>
      <c r="Z127" s="38"/>
      <c r="AA127" s="39"/>
    </row>
    <row r="128" spans="1:27" x14ac:dyDescent="0.25">
      <c r="A128" s="3" t="s">
        <v>274</v>
      </c>
      <c r="B128" s="2" t="s">
        <v>275</v>
      </c>
      <c r="C128" s="3">
        <v>11</v>
      </c>
      <c r="D128" s="33">
        <v>2061313</v>
      </c>
      <c r="E128" s="33">
        <v>576609</v>
      </c>
      <c r="F128" s="33">
        <v>1478091</v>
      </c>
      <c r="G128" s="33">
        <v>6613</v>
      </c>
      <c r="H128" s="32">
        <v>1484704</v>
      </c>
      <c r="I128" s="33">
        <v>0</v>
      </c>
      <c r="J128" s="33">
        <v>1108568</v>
      </c>
      <c r="K128" s="33">
        <v>0</v>
      </c>
      <c r="L128" s="33">
        <v>4490</v>
      </c>
      <c r="M128" s="33">
        <v>0</v>
      </c>
      <c r="N128" s="34">
        <v>1113058</v>
      </c>
      <c r="O128" s="33">
        <v>278157</v>
      </c>
      <c r="P128" s="35">
        <v>45929</v>
      </c>
      <c r="Q128" s="33">
        <v>278157</v>
      </c>
      <c r="R128" s="35">
        <v>46020</v>
      </c>
      <c r="S128" s="33">
        <v>278157</v>
      </c>
      <c r="T128" s="35">
        <v>46112</v>
      </c>
      <c r="U128" s="33">
        <v>278587</v>
      </c>
      <c r="V128" s="36">
        <v>46195</v>
      </c>
      <c r="W128" s="6">
        <v>0</v>
      </c>
      <c r="X128" s="40" t="s">
        <v>30</v>
      </c>
      <c r="Z128" s="38"/>
      <c r="AA128" s="39"/>
    </row>
    <row r="129" spans="1:27" x14ac:dyDescent="0.25">
      <c r="A129" s="3" t="s">
        <v>276</v>
      </c>
      <c r="B129" s="2" t="s">
        <v>277</v>
      </c>
      <c r="C129" s="3">
        <v>58</v>
      </c>
      <c r="D129" s="33">
        <v>8615082</v>
      </c>
      <c r="E129" s="33">
        <v>3014093</v>
      </c>
      <c r="F129" s="33">
        <v>4215312</v>
      </c>
      <c r="G129" s="33">
        <v>1385678</v>
      </c>
      <c r="H129" s="32">
        <v>5600990</v>
      </c>
      <c r="I129" s="33">
        <v>3787</v>
      </c>
      <c r="J129" s="33">
        <v>3158644</v>
      </c>
      <c r="K129" s="33">
        <v>45000</v>
      </c>
      <c r="L129" s="33">
        <v>910179</v>
      </c>
      <c r="M129" s="33">
        <v>0</v>
      </c>
      <c r="N129" s="34">
        <v>4117610</v>
      </c>
      <c r="O129" s="33">
        <v>1007518</v>
      </c>
      <c r="P129" s="35">
        <v>45929</v>
      </c>
      <c r="Q129" s="33">
        <v>1007518</v>
      </c>
      <c r="R129" s="35">
        <v>46020</v>
      </c>
      <c r="S129" s="33">
        <v>1007518</v>
      </c>
      <c r="T129" s="35">
        <v>46112</v>
      </c>
      <c r="U129" s="33">
        <v>1095056</v>
      </c>
      <c r="V129" s="36">
        <v>46195</v>
      </c>
      <c r="W129" s="6">
        <v>0</v>
      </c>
      <c r="X129" s="40" t="s">
        <v>30</v>
      </c>
      <c r="Z129" s="38"/>
      <c r="AA129" s="39"/>
    </row>
    <row r="130" spans="1:27" x14ac:dyDescent="0.25">
      <c r="A130" s="3" t="s">
        <v>278</v>
      </c>
      <c r="B130" s="2" t="s">
        <v>279</v>
      </c>
      <c r="C130" s="3">
        <v>74</v>
      </c>
      <c r="D130" s="33">
        <v>10254509</v>
      </c>
      <c r="E130" s="33">
        <v>3800378</v>
      </c>
      <c r="F130" s="33">
        <v>4930954</v>
      </c>
      <c r="G130" s="33">
        <v>1523178</v>
      </c>
      <c r="H130" s="32">
        <v>6454132</v>
      </c>
      <c r="I130" s="33">
        <v>0</v>
      </c>
      <c r="J130" s="33">
        <v>3698216</v>
      </c>
      <c r="K130" s="33">
        <v>0</v>
      </c>
      <c r="L130" s="33">
        <v>1034077</v>
      </c>
      <c r="M130" s="33">
        <v>0</v>
      </c>
      <c r="N130" s="34">
        <v>4732293</v>
      </c>
      <c r="O130" s="33">
        <v>1162292</v>
      </c>
      <c r="P130" s="35">
        <v>45929</v>
      </c>
      <c r="Q130" s="33">
        <v>1162292</v>
      </c>
      <c r="R130" s="35">
        <v>46020</v>
      </c>
      <c r="S130" s="33">
        <v>1154127</v>
      </c>
      <c r="T130" s="35">
        <v>46112</v>
      </c>
      <c r="U130" s="33">
        <v>1253582</v>
      </c>
      <c r="V130" s="36">
        <v>46195</v>
      </c>
      <c r="W130" s="6">
        <v>0</v>
      </c>
      <c r="X130" s="40" t="s">
        <v>30</v>
      </c>
      <c r="Z130" s="38"/>
      <c r="AA130" s="39"/>
    </row>
    <row r="131" spans="1:27" x14ac:dyDescent="0.25">
      <c r="A131" s="3" t="s">
        <v>280</v>
      </c>
      <c r="B131" s="2" t="s">
        <v>281</v>
      </c>
      <c r="C131" s="3">
        <v>102</v>
      </c>
      <c r="D131" s="33">
        <v>14791102</v>
      </c>
      <c r="E131" s="33">
        <v>5294319</v>
      </c>
      <c r="F131" s="33">
        <v>6342349</v>
      </c>
      <c r="G131" s="33">
        <v>3154434</v>
      </c>
      <c r="H131" s="32">
        <v>9496783</v>
      </c>
      <c r="I131" s="33">
        <v>322930</v>
      </c>
      <c r="J131" s="33">
        <v>4514564</v>
      </c>
      <c r="K131" s="33">
        <v>0</v>
      </c>
      <c r="L131" s="33">
        <v>2141528</v>
      </c>
      <c r="M131" s="33">
        <v>0</v>
      </c>
      <c r="N131" s="34">
        <v>6979022</v>
      </c>
      <c r="O131" s="33">
        <v>1693264</v>
      </c>
      <c r="P131" s="35">
        <v>45929</v>
      </c>
      <c r="Q131" s="33">
        <v>1693264</v>
      </c>
      <c r="R131" s="35">
        <v>46020</v>
      </c>
      <c r="S131" s="33">
        <v>1693264</v>
      </c>
      <c r="T131" s="35">
        <v>46112</v>
      </c>
      <c r="U131" s="33">
        <v>1899230</v>
      </c>
      <c r="V131" s="36">
        <v>46195</v>
      </c>
      <c r="W131" s="6">
        <v>0</v>
      </c>
      <c r="X131" s="40" t="s">
        <v>30</v>
      </c>
      <c r="Z131" s="38"/>
      <c r="AA131" s="39"/>
    </row>
    <row r="132" spans="1:27" x14ac:dyDescent="0.25">
      <c r="A132" s="3" t="s">
        <v>282</v>
      </c>
      <c r="B132" s="2" t="s">
        <v>283</v>
      </c>
      <c r="C132" s="3">
        <v>23</v>
      </c>
      <c r="D132" s="33">
        <v>3880155</v>
      </c>
      <c r="E132" s="33">
        <v>1205637</v>
      </c>
      <c r="F132" s="33">
        <v>1925781</v>
      </c>
      <c r="G132" s="33">
        <v>748737</v>
      </c>
      <c r="H132" s="32">
        <v>2674518</v>
      </c>
      <c r="I132" s="33">
        <v>0</v>
      </c>
      <c r="J132" s="33">
        <v>1444336</v>
      </c>
      <c r="K132" s="33">
        <v>0</v>
      </c>
      <c r="L132" s="33">
        <v>508314</v>
      </c>
      <c r="M132" s="33">
        <v>0</v>
      </c>
      <c r="N132" s="34">
        <v>1952650</v>
      </c>
      <c r="O132" s="33">
        <v>475464</v>
      </c>
      <c r="P132" s="35">
        <v>45929</v>
      </c>
      <c r="Q132" s="33">
        <v>475464</v>
      </c>
      <c r="R132" s="35">
        <v>46020</v>
      </c>
      <c r="S132" s="33">
        <v>476417</v>
      </c>
      <c r="T132" s="35">
        <v>46112</v>
      </c>
      <c r="U132" s="33">
        <v>525305</v>
      </c>
      <c r="V132" s="36">
        <v>46195</v>
      </c>
      <c r="W132" s="6">
        <v>452909</v>
      </c>
      <c r="X132" s="40" t="s">
        <v>77</v>
      </c>
      <c r="Z132" s="38"/>
      <c r="AA132" s="39"/>
    </row>
    <row r="133" spans="1:27" x14ac:dyDescent="0.25">
      <c r="A133" s="3" t="s">
        <v>284</v>
      </c>
      <c r="B133" s="2" t="s">
        <v>285</v>
      </c>
      <c r="C133" s="3">
        <v>164</v>
      </c>
      <c r="D133" s="33">
        <v>21095026</v>
      </c>
      <c r="E133" s="33">
        <v>8518088</v>
      </c>
      <c r="F133" s="33">
        <v>10390134</v>
      </c>
      <c r="G133" s="33">
        <v>2186804</v>
      </c>
      <c r="H133" s="32">
        <v>12576938</v>
      </c>
      <c r="I133" s="33">
        <v>0</v>
      </c>
      <c r="J133" s="33">
        <v>7792601</v>
      </c>
      <c r="K133" s="33">
        <v>0</v>
      </c>
      <c r="L133" s="33">
        <v>1484610</v>
      </c>
      <c r="M133" s="33">
        <v>0</v>
      </c>
      <c r="N133" s="34">
        <v>9277211</v>
      </c>
      <c r="O133" s="33">
        <v>2283606</v>
      </c>
      <c r="P133" s="35">
        <v>45929</v>
      </c>
      <c r="Q133" s="33">
        <v>2283606</v>
      </c>
      <c r="R133" s="35">
        <v>46020</v>
      </c>
      <c r="S133" s="33">
        <v>2283606</v>
      </c>
      <c r="T133" s="35">
        <v>46112</v>
      </c>
      <c r="U133" s="33">
        <v>2426393</v>
      </c>
      <c r="V133" s="36">
        <v>46195</v>
      </c>
      <c r="W133" s="6">
        <v>0</v>
      </c>
      <c r="X133" s="40" t="s">
        <v>30</v>
      </c>
      <c r="Z133" s="38"/>
      <c r="AA133" s="39"/>
    </row>
    <row r="134" spans="1:27" x14ac:dyDescent="0.25">
      <c r="A134" s="3" t="s">
        <v>286</v>
      </c>
      <c r="B134" s="2" t="s">
        <v>287</v>
      </c>
      <c r="C134" s="3">
        <v>14</v>
      </c>
      <c r="D134" s="33">
        <v>1084239</v>
      </c>
      <c r="E134" s="33">
        <v>733866</v>
      </c>
      <c r="F134" s="33">
        <v>272276</v>
      </c>
      <c r="G134" s="33">
        <v>78097</v>
      </c>
      <c r="H134" s="32">
        <v>350373</v>
      </c>
      <c r="I134" s="33">
        <v>0</v>
      </c>
      <c r="J134" s="33">
        <v>204207</v>
      </c>
      <c r="K134" s="33">
        <v>0</v>
      </c>
      <c r="L134" s="33">
        <v>53020</v>
      </c>
      <c r="M134" s="33">
        <v>0</v>
      </c>
      <c r="N134" s="34">
        <v>257227</v>
      </c>
      <c r="O134" s="33">
        <v>63032</v>
      </c>
      <c r="P134" s="35">
        <v>45929</v>
      </c>
      <c r="Q134" s="33">
        <v>63032</v>
      </c>
      <c r="R134" s="35">
        <v>46020</v>
      </c>
      <c r="S134" s="33">
        <v>63032</v>
      </c>
      <c r="T134" s="35">
        <v>46112</v>
      </c>
      <c r="U134" s="33">
        <v>68131</v>
      </c>
      <c r="V134" s="36">
        <v>46195</v>
      </c>
      <c r="W134" s="6">
        <v>0</v>
      </c>
      <c r="X134" s="40" t="s">
        <v>30</v>
      </c>
      <c r="Z134" s="38"/>
      <c r="AA134" s="39"/>
    </row>
    <row r="135" spans="1:27" x14ac:dyDescent="0.25">
      <c r="A135" s="3" t="s">
        <v>288</v>
      </c>
      <c r="B135" s="2" t="s">
        <v>289</v>
      </c>
      <c r="C135" s="3">
        <v>21</v>
      </c>
      <c r="D135" s="33">
        <v>3031473</v>
      </c>
      <c r="E135" s="33">
        <v>1100799</v>
      </c>
      <c r="F135" s="33">
        <v>1666864</v>
      </c>
      <c r="G135" s="33">
        <v>263810</v>
      </c>
      <c r="H135" s="32">
        <v>1930674</v>
      </c>
      <c r="I135" s="33">
        <v>597173</v>
      </c>
      <c r="J135" s="33">
        <v>802268</v>
      </c>
      <c r="K135" s="33">
        <v>103779</v>
      </c>
      <c r="L135" s="33">
        <v>108644</v>
      </c>
      <c r="M135" s="33">
        <v>0</v>
      </c>
      <c r="N135" s="34">
        <v>1611864</v>
      </c>
      <c r="O135" s="33">
        <v>400521</v>
      </c>
      <c r="P135" s="35">
        <v>45929</v>
      </c>
      <c r="Q135" s="33">
        <v>400521</v>
      </c>
      <c r="R135" s="35">
        <v>46020</v>
      </c>
      <c r="S135" s="33">
        <v>400187</v>
      </c>
      <c r="T135" s="35">
        <v>46112</v>
      </c>
      <c r="U135" s="33">
        <v>410635</v>
      </c>
      <c r="V135" s="36">
        <v>46195</v>
      </c>
      <c r="W135" s="6">
        <v>0</v>
      </c>
      <c r="X135" s="40" t="s">
        <v>30</v>
      </c>
      <c r="Z135" s="38"/>
      <c r="AA135" s="39"/>
    </row>
    <row r="136" spans="1:27" x14ac:dyDescent="0.25">
      <c r="A136" s="3" t="s">
        <v>290</v>
      </c>
      <c r="B136" s="2" t="s">
        <v>291</v>
      </c>
      <c r="C136" s="3">
        <v>25</v>
      </c>
      <c r="D136" s="33">
        <v>2589385</v>
      </c>
      <c r="E136" s="33">
        <v>1258056</v>
      </c>
      <c r="F136" s="33">
        <v>982604</v>
      </c>
      <c r="G136" s="33">
        <v>348725</v>
      </c>
      <c r="H136" s="32">
        <v>1331329</v>
      </c>
      <c r="I136" s="33">
        <v>0</v>
      </c>
      <c r="J136" s="33">
        <v>736953</v>
      </c>
      <c r="K136" s="33">
        <v>0</v>
      </c>
      <c r="L136" s="33">
        <v>236748</v>
      </c>
      <c r="M136" s="33">
        <v>0</v>
      </c>
      <c r="N136" s="34">
        <v>973701</v>
      </c>
      <c r="O136" s="33">
        <v>245151</v>
      </c>
      <c r="P136" s="35">
        <v>45929</v>
      </c>
      <c r="Q136" s="33">
        <v>245151</v>
      </c>
      <c r="R136" s="35">
        <v>46020</v>
      </c>
      <c r="S136" s="33">
        <v>230315</v>
      </c>
      <c r="T136" s="35">
        <v>46112</v>
      </c>
      <c r="U136" s="33">
        <v>253084</v>
      </c>
      <c r="V136" s="36">
        <v>46195</v>
      </c>
      <c r="W136" s="6">
        <v>0</v>
      </c>
      <c r="X136" s="40" t="s">
        <v>30</v>
      </c>
      <c r="Z136" s="38"/>
      <c r="AA136" s="39"/>
    </row>
    <row r="137" spans="1:27" x14ac:dyDescent="0.25">
      <c r="A137" s="3" t="s">
        <v>292</v>
      </c>
      <c r="B137" s="2" t="s">
        <v>293</v>
      </c>
      <c r="C137" s="3">
        <v>50</v>
      </c>
      <c r="D137" s="33">
        <v>7000963</v>
      </c>
      <c r="E137" s="33">
        <v>2568531</v>
      </c>
      <c r="F137" s="33">
        <v>3080707</v>
      </c>
      <c r="G137" s="33">
        <v>1351726</v>
      </c>
      <c r="H137" s="32">
        <v>4432433</v>
      </c>
      <c r="I137" s="33">
        <v>0</v>
      </c>
      <c r="J137" s="33">
        <v>2310530</v>
      </c>
      <c r="K137" s="33">
        <v>0</v>
      </c>
      <c r="L137" s="33">
        <v>917680</v>
      </c>
      <c r="M137" s="33">
        <v>0</v>
      </c>
      <c r="N137" s="34">
        <v>3228210</v>
      </c>
      <c r="O137" s="33">
        <v>826869</v>
      </c>
      <c r="P137" s="35">
        <v>45929</v>
      </c>
      <c r="Q137" s="33">
        <v>826869</v>
      </c>
      <c r="R137" s="35">
        <v>46020</v>
      </c>
      <c r="S137" s="33">
        <v>743106</v>
      </c>
      <c r="T137" s="35">
        <v>46112</v>
      </c>
      <c r="U137" s="33">
        <v>831366</v>
      </c>
      <c r="V137" s="36">
        <v>46195</v>
      </c>
      <c r="W137" s="6">
        <v>0</v>
      </c>
      <c r="X137" s="40" t="s">
        <v>30</v>
      </c>
      <c r="Z137" s="38"/>
      <c r="AA137" s="39"/>
    </row>
    <row r="138" spans="1:27" x14ac:dyDescent="0.25">
      <c r="A138" s="3" t="s">
        <v>294</v>
      </c>
      <c r="B138" s="2" t="s">
        <v>295</v>
      </c>
      <c r="C138" s="3">
        <v>31</v>
      </c>
      <c r="D138" s="33">
        <v>3997346</v>
      </c>
      <c r="E138" s="33">
        <v>1624989</v>
      </c>
      <c r="F138" s="33">
        <v>1629460</v>
      </c>
      <c r="G138" s="33">
        <v>742897</v>
      </c>
      <c r="H138" s="32">
        <v>2372357</v>
      </c>
      <c r="I138" s="33">
        <v>54037</v>
      </c>
      <c r="J138" s="33">
        <v>1181567</v>
      </c>
      <c r="K138" s="33">
        <v>485</v>
      </c>
      <c r="L138" s="33">
        <v>504020</v>
      </c>
      <c r="M138" s="33">
        <v>0</v>
      </c>
      <c r="N138" s="34">
        <v>1740109</v>
      </c>
      <c r="O138" s="33">
        <v>425535</v>
      </c>
      <c r="P138" s="35">
        <v>45929</v>
      </c>
      <c r="Q138" s="33">
        <v>425535</v>
      </c>
      <c r="R138" s="35">
        <v>46020</v>
      </c>
      <c r="S138" s="33">
        <v>420282</v>
      </c>
      <c r="T138" s="35">
        <v>46112</v>
      </c>
      <c r="U138" s="33">
        <v>468757</v>
      </c>
      <c r="V138" s="36">
        <v>46195</v>
      </c>
      <c r="W138" s="6">
        <v>206630</v>
      </c>
      <c r="X138" s="40" t="s">
        <v>77</v>
      </c>
      <c r="Z138" s="38"/>
      <c r="AA138" s="39"/>
    </row>
    <row r="139" spans="1:27" x14ac:dyDescent="0.25">
      <c r="A139" s="3" t="s">
        <v>296</v>
      </c>
      <c r="B139" s="2" t="s">
        <v>297</v>
      </c>
      <c r="C139" s="3">
        <v>21</v>
      </c>
      <c r="D139" s="33">
        <v>2058336</v>
      </c>
      <c r="E139" s="33">
        <v>1100799</v>
      </c>
      <c r="F139" s="33">
        <v>633988</v>
      </c>
      <c r="G139" s="33">
        <v>323549</v>
      </c>
      <c r="H139" s="32">
        <v>957537</v>
      </c>
      <c r="I139" s="33">
        <v>0</v>
      </c>
      <c r="J139" s="33">
        <v>475491</v>
      </c>
      <c r="K139" s="33">
        <v>0</v>
      </c>
      <c r="L139" s="33">
        <v>219656</v>
      </c>
      <c r="M139" s="33">
        <v>0</v>
      </c>
      <c r="N139" s="34">
        <v>695147</v>
      </c>
      <c r="O139" s="33">
        <v>166501</v>
      </c>
      <c r="P139" s="35">
        <v>45929</v>
      </c>
      <c r="Q139" s="33">
        <v>166501</v>
      </c>
      <c r="R139" s="35">
        <v>46020</v>
      </c>
      <c r="S139" s="33">
        <v>166501</v>
      </c>
      <c r="T139" s="35">
        <v>46112</v>
      </c>
      <c r="U139" s="33">
        <v>195644</v>
      </c>
      <c r="V139" s="36">
        <v>46195</v>
      </c>
      <c r="W139" s="6">
        <v>317797</v>
      </c>
      <c r="X139" s="40" t="s">
        <v>77</v>
      </c>
      <c r="Z139" s="38"/>
      <c r="AA139" s="39"/>
    </row>
    <row r="140" spans="1:27" x14ac:dyDescent="0.25">
      <c r="A140" s="3" t="s">
        <v>298</v>
      </c>
      <c r="B140" s="2" t="s">
        <v>299</v>
      </c>
      <c r="C140" s="3">
        <v>33</v>
      </c>
      <c r="D140" s="33">
        <v>4686738</v>
      </c>
      <c r="E140" s="33">
        <v>1677408</v>
      </c>
      <c r="F140" s="33">
        <v>1608650</v>
      </c>
      <c r="G140" s="33">
        <v>1400680</v>
      </c>
      <c r="H140" s="32">
        <v>3009330</v>
      </c>
      <c r="I140" s="33">
        <v>0</v>
      </c>
      <c r="J140" s="33">
        <v>1206488</v>
      </c>
      <c r="K140" s="33">
        <v>0</v>
      </c>
      <c r="L140" s="33">
        <v>950914</v>
      </c>
      <c r="M140" s="33">
        <v>-36214</v>
      </c>
      <c r="N140" s="34">
        <v>2121188</v>
      </c>
      <c r="O140" s="33">
        <v>507433</v>
      </c>
      <c r="P140" s="35">
        <v>45929</v>
      </c>
      <c r="Q140" s="33">
        <v>507433</v>
      </c>
      <c r="R140" s="35">
        <v>46020</v>
      </c>
      <c r="S140" s="33">
        <v>507433</v>
      </c>
      <c r="T140" s="35">
        <v>46112</v>
      </c>
      <c r="U140" s="33">
        <v>598889</v>
      </c>
      <c r="V140" s="36">
        <v>46195</v>
      </c>
      <c r="W140" s="6">
        <v>0</v>
      </c>
      <c r="X140" s="40" t="s">
        <v>30</v>
      </c>
      <c r="Z140" s="38"/>
      <c r="AA140" s="39"/>
    </row>
    <row r="141" spans="1:27" x14ac:dyDescent="0.25">
      <c r="A141" s="3" t="s">
        <v>300</v>
      </c>
      <c r="B141" s="2" t="s">
        <v>301</v>
      </c>
      <c r="C141" s="3">
        <v>13</v>
      </c>
      <c r="D141" s="33">
        <v>2003640</v>
      </c>
      <c r="E141" s="33">
        <v>681447</v>
      </c>
      <c r="F141" s="33">
        <v>991809</v>
      </c>
      <c r="G141" s="33">
        <v>330384</v>
      </c>
      <c r="H141" s="32">
        <v>1322193</v>
      </c>
      <c r="I141" s="33">
        <v>0</v>
      </c>
      <c r="J141" s="33">
        <v>743857</v>
      </c>
      <c r="K141" s="33">
        <v>0</v>
      </c>
      <c r="L141" s="33">
        <v>224296</v>
      </c>
      <c r="M141" s="33">
        <v>0</v>
      </c>
      <c r="N141" s="34">
        <v>968153</v>
      </c>
      <c r="O141" s="33">
        <v>236645</v>
      </c>
      <c r="P141" s="35">
        <v>45929</v>
      </c>
      <c r="Q141" s="33">
        <v>236645</v>
      </c>
      <c r="R141" s="35">
        <v>46020</v>
      </c>
      <c r="S141" s="33">
        <v>236645</v>
      </c>
      <c r="T141" s="35">
        <v>46112</v>
      </c>
      <c r="U141" s="33">
        <v>258218</v>
      </c>
      <c r="V141" s="36">
        <v>46195</v>
      </c>
      <c r="W141" s="6">
        <v>0</v>
      </c>
      <c r="X141" s="40" t="s">
        <v>30</v>
      </c>
      <c r="Z141" s="38"/>
      <c r="AA141" s="39"/>
    </row>
    <row r="142" spans="1:27" x14ac:dyDescent="0.25">
      <c r="A142" s="3" t="s">
        <v>302</v>
      </c>
      <c r="B142" s="2" t="s">
        <v>303</v>
      </c>
      <c r="C142" s="3">
        <v>38</v>
      </c>
      <c r="D142" s="33">
        <v>4937270</v>
      </c>
      <c r="E142" s="33">
        <v>1965713</v>
      </c>
      <c r="F142" s="33">
        <v>2436681</v>
      </c>
      <c r="G142" s="33">
        <v>534877</v>
      </c>
      <c r="H142" s="32">
        <v>2971558</v>
      </c>
      <c r="I142" s="33">
        <v>0</v>
      </c>
      <c r="J142" s="33">
        <v>1827511</v>
      </c>
      <c r="K142" s="33">
        <v>0</v>
      </c>
      <c r="L142" s="33">
        <v>363125</v>
      </c>
      <c r="M142" s="33">
        <v>0</v>
      </c>
      <c r="N142" s="34">
        <v>2190636</v>
      </c>
      <c r="O142" s="33">
        <v>538928</v>
      </c>
      <c r="P142" s="35">
        <v>45929</v>
      </c>
      <c r="Q142" s="33">
        <v>538928</v>
      </c>
      <c r="R142" s="35">
        <v>46020</v>
      </c>
      <c r="S142" s="33">
        <v>538928</v>
      </c>
      <c r="T142" s="35">
        <v>46112</v>
      </c>
      <c r="U142" s="33">
        <v>573852</v>
      </c>
      <c r="V142" s="36">
        <v>46195</v>
      </c>
      <c r="W142" s="6">
        <v>0</v>
      </c>
      <c r="X142" s="40" t="s">
        <v>30</v>
      </c>
      <c r="Z142" s="38"/>
      <c r="AA142" s="39"/>
    </row>
    <row r="143" spans="1:27" x14ac:dyDescent="0.25">
      <c r="A143" s="3" t="s">
        <v>304</v>
      </c>
      <c r="B143" s="2" t="s">
        <v>305</v>
      </c>
      <c r="C143" s="3">
        <v>29</v>
      </c>
      <c r="D143" s="33">
        <v>4215788</v>
      </c>
      <c r="E143" s="33">
        <v>1520151</v>
      </c>
      <c r="F143" s="33">
        <v>1647375</v>
      </c>
      <c r="G143" s="33">
        <v>1048263</v>
      </c>
      <c r="H143" s="32">
        <v>2695638</v>
      </c>
      <c r="I143" s="33">
        <v>37827</v>
      </c>
      <c r="J143" s="33">
        <v>1207161</v>
      </c>
      <c r="K143" s="33">
        <v>56100</v>
      </c>
      <c r="L143" s="33">
        <v>673574</v>
      </c>
      <c r="M143" s="33">
        <v>0</v>
      </c>
      <c r="N143" s="34">
        <v>1974662</v>
      </c>
      <c r="O143" s="33">
        <v>477470</v>
      </c>
      <c r="P143" s="35">
        <v>45929</v>
      </c>
      <c r="Q143" s="33">
        <v>477470</v>
      </c>
      <c r="R143" s="35">
        <v>46020</v>
      </c>
      <c r="S143" s="33">
        <v>477470</v>
      </c>
      <c r="T143" s="35">
        <v>46112</v>
      </c>
      <c r="U143" s="33">
        <v>542252</v>
      </c>
      <c r="V143" s="36">
        <v>46195</v>
      </c>
      <c r="W143" s="6">
        <v>0</v>
      </c>
      <c r="X143" s="40" t="s">
        <v>30</v>
      </c>
      <c r="Z143" s="38"/>
      <c r="AA143" s="39"/>
    </row>
    <row r="144" spans="1:27" x14ac:dyDescent="0.25">
      <c r="A144" s="3" t="s">
        <v>306</v>
      </c>
      <c r="B144" s="2" t="s">
        <v>307</v>
      </c>
      <c r="C144" s="3">
        <v>25</v>
      </c>
      <c r="D144" s="33">
        <v>3394414</v>
      </c>
      <c r="E144" s="33">
        <v>1310475</v>
      </c>
      <c r="F144" s="33">
        <v>1826910</v>
      </c>
      <c r="G144" s="33">
        <v>257029</v>
      </c>
      <c r="H144" s="32">
        <v>2083939</v>
      </c>
      <c r="I144" s="33">
        <v>0</v>
      </c>
      <c r="J144" s="33">
        <v>1370183</v>
      </c>
      <c r="K144" s="33">
        <v>0</v>
      </c>
      <c r="L144" s="33">
        <v>174496</v>
      </c>
      <c r="M144" s="33">
        <v>0</v>
      </c>
      <c r="N144" s="34">
        <v>1544679</v>
      </c>
      <c r="O144" s="33">
        <v>381974</v>
      </c>
      <c r="P144" s="35">
        <v>45929</v>
      </c>
      <c r="Q144" s="33">
        <v>381974</v>
      </c>
      <c r="R144" s="35">
        <v>46020</v>
      </c>
      <c r="S144" s="33">
        <v>381974</v>
      </c>
      <c r="T144" s="35">
        <v>46112</v>
      </c>
      <c r="U144" s="33">
        <v>398757</v>
      </c>
      <c r="V144" s="36">
        <v>46195</v>
      </c>
      <c r="W144" s="6">
        <v>0</v>
      </c>
      <c r="X144" s="40" t="s">
        <v>30</v>
      </c>
      <c r="Z144" s="38"/>
      <c r="AA144" s="39"/>
    </row>
    <row r="145" spans="1:27" x14ac:dyDescent="0.25">
      <c r="A145" s="3" t="s">
        <v>308</v>
      </c>
      <c r="B145" s="2" t="s">
        <v>309</v>
      </c>
      <c r="C145" s="3">
        <v>71</v>
      </c>
      <c r="D145" s="33">
        <v>10889428</v>
      </c>
      <c r="E145" s="33">
        <v>3695540</v>
      </c>
      <c r="F145" s="33">
        <v>6731397</v>
      </c>
      <c r="G145" s="33">
        <v>462491</v>
      </c>
      <c r="H145" s="32">
        <v>7193888</v>
      </c>
      <c r="I145" s="33">
        <v>0</v>
      </c>
      <c r="J145" s="33">
        <v>5048548</v>
      </c>
      <c r="K145" s="33">
        <v>0</v>
      </c>
      <c r="L145" s="33">
        <v>313983</v>
      </c>
      <c r="M145" s="33">
        <v>0</v>
      </c>
      <c r="N145" s="34">
        <v>5362531</v>
      </c>
      <c r="O145" s="33">
        <v>1333083</v>
      </c>
      <c r="P145" s="35">
        <v>45929</v>
      </c>
      <c r="Q145" s="33">
        <v>1333083</v>
      </c>
      <c r="R145" s="35">
        <v>46020</v>
      </c>
      <c r="S145" s="33">
        <v>1333083</v>
      </c>
      <c r="T145" s="35">
        <v>46112</v>
      </c>
      <c r="U145" s="33">
        <v>1363282</v>
      </c>
      <c r="V145" s="36">
        <v>46195</v>
      </c>
      <c r="W145" s="6">
        <v>0</v>
      </c>
      <c r="X145" s="40" t="s">
        <v>30</v>
      </c>
      <c r="Z145" s="38"/>
      <c r="AA145" s="39"/>
    </row>
    <row r="146" spans="1:27" x14ac:dyDescent="0.25">
      <c r="A146" s="3" t="s">
        <v>310</v>
      </c>
      <c r="B146" s="2" t="s">
        <v>311</v>
      </c>
      <c r="C146" s="3">
        <v>2</v>
      </c>
      <c r="D146" s="33">
        <v>703940</v>
      </c>
      <c r="E146" s="33">
        <v>104838</v>
      </c>
      <c r="F146" s="33">
        <v>599102</v>
      </c>
      <c r="G146" s="33">
        <v>0</v>
      </c>
      <c r="H146" s="32">
        <v>599102</v>
      </c>
      <c r="I146" s="33">
        <v>0</v>
      </c>
      <c r="J146" s="33">
        <v>449327</v>
      </c>
      <c r="K146" s="33">
        <v>0</v>
      </c>
      <c r="L146" s="33">
        <v>0</v>
      </c>
      <c r="M146" s="33">
        <v>-11273</v>
      </c>
      <c r="N146" s="34">
        <v>438054</v>
      </c>
      <c r="O146" s="33">
        <v>117673</v>
      </c>
      <c r="P146" s="35">
        <v>45929</v>
      </c>
      <c r="Q146" s="33">
        <v>117673</v>
      </c>
      <c r="R146" s="35">
        <v>46020</v>
      </c>
      <c r="S146" s="33">
        <v>101354</v>
      </c>
      <c r="T146" s="35">
        <v>46112</v>
      </c>
      <c r="U146" s="33">
        <v>101354</v>
      </c>
      <c r="V146" s="36">
        <v>46195</v>
      </c>
      <c r="W146" s="6">
        <v>0</v>
      </c>
      <c r="X146" s="40" t="s">
        <v>30</v>
      </c>
      <c r="Z146" s="38"/>
      <c r="AA146" s="39"/>
    </row>
    <row r="147" spans="1:27" x14ac:dyDescent="0.25">
      <c r="A147" s="3" t="s">
        <v>312</v>
      </c>
      <c r="B147" s="2" t="s">
        <v>313</v>
      </c>
      <c r="C147" s="3">
        <v>8</v>
      </c>
      <c r="D147" s="33">
        <v>832621</v>
      </c>
      <c r="E147" s="33">
        <v>419352</v>
      </c>
      <c r="F147" s="33">
        <v>237802</v>
      </c>
      <c r="G147" s="33">
        <v>175467</v>
      </c>
      <c r="H147" s="32">
        <v>413269</v>
      </c>
      <c r="I147" s="33">
        <v>133588</v>
      </c>
      <c r="J147" s="33">
        <v>78161</v>
      </c>
      <c r="K147" s="33">
        <v>0</v>
      </c>
      <c r="L147" s="33">
        <v>119124</v>
      </c>
      <c r="M147" s="33">
        <v>0</v>
      </c>
      <c r="N147" s="34">
        <v>330873</v>
      </c>
      <c r="O147" s="33">
        <v>79854</v>
      </c>
      <c r="P147" s="35">
        <v>45929</v>
      </c>
      <c r="Q147" s="33">
        <v>79854</v>
      </c>
      <c r="R147" s="35">
        <v>46020</v>
      </c>
      <c r="S147" s="33">
        <v>79854</v>
      </c>
      <c r="T147" s="35">
        <v>46112</v>
      </c>
      <c r="U147" s="33">
        <v>91311</v>
      </c>
      <c r="V147" s="36">
        <v>46195</v>
      </c>
      <c r="W147" s="6">
        <v>78996</v>
      </c>
      <c r="X147" s="40" t="s">
        <v>77</v>
      </c>
      <c r="Z147" s="38"/>
      <c r="AA147" s="39"/>
    </row>
    <row r="148" spans="1:27" x14ac:dyDescent="0.25">
      <c r="A148" s="3" t="s">
        <v>314</v>
      </c>
      <c r="B148" s="2" t="s">
        <v>315</v>
      </c>
      <c r="C148" s="33">
        <v>0</v>
      </c>
      <c r="D148" s="33">
        <v>0</v>
      </c>
      <c r="E148" s="33">
        <v>0</v>
      </c>
      <c r="F148" s="33">
        <v>0</v>
      </c>
      <c r="G148" s="33">
        <v>0</v>
      </c>
      <c r="H148" s="32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4">
        <v>0</v>
      </c>
      <c r="O148" s="33">
        <v>0</v>
      </c>
      <c r="P148" s="36" t="s">
        <v>30</v>
      </c>
      <c r="Q148" s="33">
        <v>0</v>
      </c>
      <c r="R148" s="36" t="s">
        <v>30</v>
      </c>
      <c r="S148" s="33">
        <v>0</v>
      </c>
      <c r="T148" s="36" t="s">
        <v>30</v>
      </c>
      <c r="U148" s="33">
        <v>0</v>
      </c>
      <c r="V148" s="36">
        <v>46195</v>
      </c>
      <c r="W148" s="6">
        <v>15267</v>
      </c>
      <c r="X148" s="40" t="s">
        <v>77</v>
      </c>
      <c r="Z148" s="38"/>
      <c r="AA148" s="39"/>
    </row>
    <row r="149" spans="1:27" x14ac:dyDescent="0.25">
      <c r="A149" s="3" t="s">
        <v>316</v>
      </c>
      <c r="B149" s="2" t="s">
        <v>317</v>
      </c>
      <c r="C149" s="3">
        <v>35</v>
      </c>
      <c r="D149" s="33">
        <v>3568384</v>
      </c>
      <c r="E149" s="33">
        <v>1834665</v>
      </c>
      <c r="F149" s="33">
        <v>1300443</v>
      </c>
      <c r="G149" s="33">
        <v>433276</v>
      </c>
      <c r="H149" s="32">
        <v>1733719</v>
      </c>
      <c r="I149" s="33">
        <v>3769</v>
      </c>
      <c r="J149" s="33">
        <v>972506</v>
      </c>
      <c r="K149" s="33">
        <v>0</v>
      </c>
      <c r="L149" s="33">
        <v>294149</v>
      </c>
      <c r="M149" s="33">
        <v>0</v>
      </c>
      <c r="N149" s="34">
        <v>1270424</v>
      </c>
      <c r="O149" s="33">
        <v>310533</v>
      </c>
      <c r="P149" s="35">
        <v>45929</v>
      </c>
      <c r="Q149" s="33">
        <v>310533</v>
      </c>
      <c r="R149" s="35">
        <v>46020</v>
      </c>
      <c r="S149" s="33">
        <v>310533</v>
      </c>
      <c r="T149" s="35">
        <v>46112</v>
      </c>
      <c r="U149" s="33">
        <v>338825</v>
      </c>
      <c r="V149" s="36">
        <v>46195</v>
      </c>
      <c r="W149" s="6">
        <v>0</v>
      </c>
      <c r="X149" s="40" t="s">
        <v>30</v>
      </c>
      <c r="Z149" s="38"/>
      <c r="AA149" s="39"/>
    </row>
    <row r="150" spans="1:27" x14ac:dyDescent="0.25">
      <c r="A150" s="3" t="s">
        <v>318</v>
      </c>
      <c r="B150" s="2" t="s">
        <v>319</v>
      </c>
      <c r="C150" s="3">
        <v>25</v>
      </c>
      <c r="D150" s="33">
        <v>2669918</v>
      </c>
      <c r="E150" s="33">
        <v>1205637</v>
      </c>
      <c r="F150" s="33">
        <v>1033509</v>
      </c>
      <c r="G150" s="33">
        <v>430771</v>
      </c>
      <c r="H150" s="32">
        <v>1464280</v>
      </c>
      <c r="I150" s="33">
        <v>55313</v>
      </c>
      <c r="J150" s="33">
        <v>733647</v>
      </c>
      <c r="K150" s="33">
        <v>49120</v>
      </c>
      <c r="L150" s="33">
        <v>259101</v>
      </c>
      <c r="M150" s="33">
        <v>0</v>
      </c>
      <c r="N150" s="34">
        <v>1097181</v>
      </c>
      <c r="O150" s="33">
        <v>268065</v>
      </c>
      <c r="P150" s="35">
        <v>45929</v>
      </c>
      <c r="Q150" s="33">
        <v>268065</v>
      </c>
      <c r="R150" s="35">
        <v>46020</v>
      </c>
      <c r="S150" s="33">
        <v>268065</v>
      </c>
      <c r="T150" s="35">
        <v>46112</v>
      </c>
      <c r="U150" s="33">
        <v>292986</v>
      </c>
      <c r="V150" s="36">
        <v>46195</v>
      </c>
      <c r="W150" s="6">
        <v>0</v>
      </c>
      <c r="X150" s="40" t="s">
        <v>30</v>
      </c>
      <c r="Z150" s="38"/>
      <c r="AA150" s="39"/>
    </row>
    <row r="151" spans="1:27" x14ac:dyDescent="0.25">
      <c r="A151" s="3" t="s">
        <v>320</v>
      </c>
      <c r="B151" s="2" t="s">
        <v>321</v>
      </c>
      <c r="C151" s="3">
        <v>114</v>
      </c>
      <c r="D151" s="33">
        <v>13775896</v>
      </c>
      <c r="E151" s="33">
        <v>5923347</v>
      </c>
      <c r="F151" s="33">
        <v>5116038</v>
      </c>
      <c r="G151" s="33">
        <v>2736511</v>
      </c>
      <c r="H151" s="32">
        <v>7852549</v>
      </c>
      <c r="I151" s="33">
        <v>151600</v>
      </c>
      <c r="J151" s="33">
        <v>3723329</v>
      </c>
      <c r="K151" s="33">
        <v>93800</v>
      </c>
      <c r="L151" s="33">
        <v>1794122</v>
      </c>
      <c r="M151" s="33">
        <v>0</v>
      </c>
      <c r="N151" s="34">
        <v>5762851</v>
      </c>
      <c r="O151" s="33">
        <v>1397574</v>
      </c>
      <c r="P151" s="35">
        <v>45929</v>
      </c>
      <c r="Q151" s="33">
        <v>1397574</v>
      </c>
      <c r="R151" s="35">
        <v>46030</v>
      </c>
      <c r="S151" s="33">
        <v>1397574</v>
      </c>
      <c r="T151" s="35">
        <v>46112</v>
      </c>
      <c r="U151" s="33">
        <v>1570129</v>
      </c>
      <c r="V151" s="36">
        <v>46195</v>
      </c>
      <c r="W151" s="6">
        <v>0</v>
      </c>
      <c r="X151" s="40" t="s">
        <v>30</v>
      </c>
      <c r="Z151" s="38"/>
      <c r="AA151" s="39"/>
    </row>
    <row r="152" spans="1:27" x14ac:dyDescent="0.25">
      <c r="A152" s="3" t="s">
        <v>322</v>
      </c>
      <c r="B152" s="2" t="s">
        <v>323</v>
      </c>
      <c r="C152" s="3">
        <v>1</v>
      </c>
      <c r="D152" s="33">
        <v>73277</v>
      </c>
      <c r="E152" s="33">
        <v>52419</v>
      </c>
      <c r="F152" s="33">
        <v>20858</v>
      </c>
      <c r="G152" s="33">
        <v>0</v>
      </c>
      <c r="H152" s="32">
        <v>20858</v>
      </c>
      <c r="I152" s="33">
        <v>0</v>
      </c>
      <c r="J152" s="33">
        <v>15644</v>
      </c>
      <c r="K152" s="33">
        <v>0</v>
      </c>
      <c r="L152" s="33">
        <v>0</v>
      </c>
      <c r="M152" s="33">
        <v>0</v>
      </c>
      <c r="N152" s="34">
        <v>15644</v>
      </c>
      <c r="O152" s="33">
        <v>3911</v>
      </c>
      <c r="P152" s="35">
        <v>45929</v>
      </c>
      <c r="Q152" s="33">
        <v>3911</v>
      </c>
      <c r="R152" s="35">
        <v>46020</v>
      </c>
      <c r="S152" s="33">
        <v>3911</v>
      </c>
      <c r="T152" s="35">
        <v>46112</v>
      </c>
      <c r="U152" s="33">
        <v>3911</v>
      </c>
      <c r="V152" s="36">
        <v>46195</v>
      </c>
      <c r="W152" s="6">
        <v>0</v>
      </c>
      <c r="X152" s="40" t="s">
        <v>30</v>
      </c>
      <c r="Z152" s="38"/>
      <c r="AA152" s="39"/>
    </row>
    <row r="153" spans="1:27" x14ac:dyDescent="0.25">
      <c r="A153" s="3" t="s">
        <v>324</v>
      </c>
      <c r="B153" s="2" t="s">
        <v>325</v>
      </c>
      <c r="C153" s="3">
        <v>30</v>
      </c>
      <c r="D153" s="33">
        <v>4367909</v>
      </c>
      <c r="E153" s="33">
        <v>1546361</v>
      </c>
      <c r="F153" s="33">
        <v>1977717</v>
      </c>
      <c r="G153" s="33">
        <v>843832</v>
      </c>
      <c r="H153" s="32">
        <v>2821549</v>
      </c>
      <c r="I153" s="33">
        <v>93253</v>
      </c>
      <c r="J153" s="33">
        <v>1413348</v>
      </c>
      <c r="K153" s="33">
        <v>397</v>
      </c>
      <c r="L153" s="33">
        <v>572604</v>
      </c>
      <c r="M153" s="33">
        <v>0</v>
      </c>
      <c r="N153" s="34">
        <v>2079602</v>
      </c>
      <c r="O153" s="33">
        <v>506132</v>
      </c>
      <c r="P153" s="35">
        <v>45929</v>
      </c>
      <c r="Q153" s="33">
        <v>506132</v>
      </c>
      <c r="R153" s="35">
        <v>46020</v>
      </c>
      <c r="S153" s="33">
        <v>506132</v>
      </c>
      <c r="T153" s="35">
        <v>46112</v>
      </c>
      <c r="U153" s="33">
        <v>561206</v>
      </c>
      <c r="V153" s="36">
        <v>46195</v>
      </c>
      <c r="W153" s="6">
        <v>0</v>
      </c>
      <c r="X153" s="40" t="s">
        <v>30</v>
      </c>
      <c r="Z153" s="38"/>
      <c r="AA153" s="39"/>
    </row>
    <row r="154" spans="1:27" x14ac:dyDescent="0.25">
      <c r="A154" s="3" t="s">
        <v>326</v>
      </c>
      <c r="B154" s="2" t="s">
        <v>327</v>
      </c>
      <c r="C154" s="3">
        <v>1</v>
      </c>
      <c r="D154" s="33">
        <v>75437</v>
      </c>
      <c r="E154" s="33">
        <v>52419</v>
      </c>
      <c r="F154" s="33">
        <v>2690</v>
      </c>
      <c r="G154" s="33">
        <v>20328</v>
      </c>
      <c r="H154" s="32">
        <v>23018</v>
      </c>
      <c r="I154" s="33">
        <v>0</v>
      </c>
      <c r="J154" s="33">
        <v>2018</v>
      </c>
      <c r="K154" s="33">
        <v>0</v>
      </c>
      <c r="L154" s="33">
        <v>13801</v>
      </c>
      <c r="M154" s="33">
        <v>0</v>
      </c>
      <c r="N154" s="34">
        <v>15819</v>
      </c>
      <c r="O154" s="33">
        <v>3623</v>
      </c>
      <c r="P154" s="35">
        <v>45929</v>
      </c>
      <c r="Q154" s="33">
        <v>3623</v>
      </c>
      <c r="R154" s="35">
        <v>46020</v>
      </c>
      <c r="S154" s="33">
        <v>3623</v>
      </c>
      <c r="T154" s="35">
        <v>46112</v>
      </c>
      <c r="U154" s="33">
        <v>4950</v>
      </c>
      <c r="V154" s="36">
        <v>46195</v>
      </c>
      <c r="W154" s="6">
        <v>0</v>
      </c>
      <c r="X154" s="40" t="s">
        <v>30</v>
      </c>
      <c r="Z154" s="38"/>
      <c r="AA154" s="39"/>
    </row>
    <row r="155" spans="1:27" x14ac:dyDescent="0.25">
      <c r="A155" s="3" t="s">
        <v>328</v>
      </c>
      <c r="B155" s="2" t="s">
        <v>329</v>
      </c>
      <c r="C155" s="3">
        <v>65</v>
      </c>
      <c r="D155" s="33">
        <v>8854282</v>
      </c>
      <c r="E155" s="33">
        <v>3354816</v>
      </c>
      <c r="F155" s="33">
        <v>4490681</v>
      </c>
      <c r="G155" s="33">
        <v>1008785</v>
      </c>
      <c r="H155" s="32">
        <v>5499466</v>
      </c>
      <c r="I155" s="33">
        <v>265163</v>
      </c>
      <c r="J155" s="33">
        <v>3169139</v>
      </c>
      <c r="K155" s="33">
        <v>40700</v>
      </c>
      <c r="L155" s="33">
        <v>657228</v>
      </c>
      <c r="M155" s="33">
        <v>0</v>
      </c>
      <c r="N155" s="34">
        <v>4132230</v>
      </c>
      <c r="O155" s="33">
        <v>1017255</v>
      </c>
      <c r="P155" s="35">
        <v>45929</v>
      </c>
      <c r="Q155" s="33">
        <v>1017255</v>
      </c>
      <c r="R155" s="35">
        <v>46020</v>
      </c>
      <c r="S155" s="33">
        <v>1017255</v>
      </c>
      <c r="T155" s="35">
        <v>46112</v>
      </c>
      <c r="U155" s="33">
        <v>1080465</v>
      </c>
      <c r="V155" s="36">
        <v>46195</v>
      </c>
      <c r="W155" s="6">
        <v>0</v>
      </c>
      <c r="X155" s="40" t="s">
        <v>30</v>
      </c>
      <c r="Z155" s="38"/>
      <c r="AA155" s="39"/>
    </row>
    <row r="156" spans="1:27" x14ac:dyDescent="0.25">
      <c r="A156" s="3" t="s">
        <v>330</v>
      </c>
      <c r="B156" s="2" t="s">
        <v>331</v>
      </c>
      <c r="C156" s="3">
        <v>4</v>
      </c>
      <c r="D156" s="33">
        <v>350580</v>
      </c>
      <c r="E156" s="33">
        <v>209676</v>
      </c>
      <c r="F156" s="33">
        <v>83618</v>
      </c>
      <c r="G156" s="33">
        <v>57286</v>
      </c>
      <c r="H156" s="32">
        <v>140904</v>
      </c>
      <c r="I156" s="33">
        <v>0</v>
      </c>
      <c r="J156" s="33">
        <v>62714</v>
      </c>
      <c r="K156" s="33">
        <v>0</v>
      </c>
      <c r="L156" s="33">
        <v>38891</v>
      </c>
      <c r="M156" s="33">
        <v>0</v>
      </c>
      <c r="N156" s="34">
        <v>101605</v>
      </c>
      <c r="O156" s="33">
        <v>24320</v>
      </c>
      <c r="P156" s="35">
        <v>45929</v>
      </c>
      <c r="Q156" s="33">
        <v>24320</v>
      </c>
      <c r="R156" s="35">
        <v>46020</v>
      </c>
      <c r="S156" s="33">
        <v>24612</v>
      </c>
      <c r="T156" s="35">
        <v>46112</v>
      </c>
      <c r="U156" s="33">
        <v>28353</v>
      </c>
      <c r="V156" s="36">
        <v>46195</v>
      </c>
      <c r="W156" s="6">
        <v>122649</v>
      </c>
      <c r="X156" s="40" t="s">
        <v>77</v>
      </c>
      <c r="Z156" s="38"/>
      <c r="AA156" s="39"/>
    </row>
    <row r="157" spans="1:27" x14ac:dyDescent="0.25">
      <c r="A157" s="3" t="s">
        <v>332</v>
      </c>
      <c r="B157" s="2" t="s">
        <v>333</v>
      </c>
      <c r="C157" s="3">
        <v>78</v>
      </c>
      <c r="D157" s="33">
        <v>10425322</v>
      </c>
      <c r="E157" s="33">
        <v>4036263</v>
      </c>
      <c r="F157" s="33">
        <v>4497220</v>
      </c>
      <c r="G157" s="33">
        <v>1891839</v>
      </c>
      <c r="H157" s="32">
        <v>6389059</v>
      </c>
      <c r="I157" s="33">
        <v>167130</v>
      </c>
      <c r="J157" s="33">
        <v>3247568</v>
      </c>
      <c r="K157" s="33">
        <v>22844</v>
      </c>
      <c r="L157" s="33">
        <v>1268851</v>
      </c>
      <c r="M157" s="33">
        <v>0</v>
      </c>
      <c r="N157" s="34">
        <v>4706393</v>
      </c>
      <c r="O157" s="33">
        <v>1146823</v>
      </c>
      <c r="P157" s="35">
        <v>45929</v>
      </c>
      <c r="Q157" s="33">
        <v>1146823</v>
      </c>
      <c r="R157" s="35">
        <v>46020</v>
      </c>
      <c r="S157" s="33">
        <v>1146823</v>
      </c>
      <c r="T157" s="35">
        <v>46112</v>
      </c>
      <c r="U157" s="33">
        <v>1265924</v>
      </c>
      <c r="V157" s="36">
        <v>46195</v>
      </c>
      <c r="W157" s="6">
        <v>0</v>
      </c>
      <c r="X157" s="40" t="s">
        <v>30</v>
      </c>
      <c r="Z157" s="38"/>
      <c r="AA157" s="39"/>
    </row>
    <row r="158" spans="1:27" x14ac:dyDescent="0.25">
      <c r="A158" s="3" t="s">
        <v>334</v>
      </c>
      <c r="B158" s="2" t="s">
        <v>335</v>
      </c>
      <c r="C158" s="3">
        <v>4</v>
      </c>
      <c r="D158" s="33">
        <v>426984</v>
      </c>
      <c r="E158" s="33">
        <v>209676</v>
      </c>
      <c r="F158" s="33">
        <v>189384</v>
      </c>
      <c r="G158" s="33">
        <v>27924</v>
      </c>
      <c r="H158" s="32">
        <v>217308</v>
      </c>
      <c r="I158" s="33">
        <v>0</v>
      </c>
      <c r="J158" s="33">
        <v>142038</v>
      </c>
      <c r="K158" s="33">
        <v>0</v>
      </c>
      <c r="L158" s="33">
        <v>18957</v>
      </c>
      <c r="M158" s="33">
        <v>0</v>
      </c>
      <c r="N158" s="34">
        <v>160995</v>
      </c>
      <c r="O158" s="33">
        <v>40200</v>
      </c>
      <c r="P158" s="35">
        <v>45929</v>
      </c>
      <c r="Q158" s="33">
        <v>40200</v>
      </c>
      <c r="R158" s="35">
        <v>46030</v>
      </c>
      <c r="S158" s="33">
        <v>40200</v>
      </c>
      <c r="T158" s="35">
        <v>46112</v>
      </c>
      <c r="U158" s="33">
        <v>40395</v>
      </c>
      <c r="V158" s="36">
        <v>46195</v>
      </c>
      <c r="W158" s="6">
        <v>0</v>
      </c>
      <c r="X158" s="40" t="s">
        <v>30</v>
      </c>
      <c r="Z158" s="38"/>
      <c r="AA158" s="39"/>
    </row>
    <row r="159" spans="1:27" x14ac:dyDescent="0.25">
      <c r="A159" s="3" t="s">
        <v>336</v>
      </c>
      <c r="B159" s="2" t="s">
        <v>337</v>
      </c>
      <c r="C159" s="3">
        <v>161</v>
      </c>
      <c r="D159" s="33">
        <v>23064899</v>
      </c>
      <c r="E159" s="33">
        <v>8247256</v>
      </c>
      <c r="F159" s="33">
        <v>10472340</v>
      </c>
      <c r="G159" s="33">
        <v>4345303</v>
      </c>
      <c r="H159" s="32">
        <v>14817643</v>
      </c>
      <c r="I159" s="33">
        <v>5868</v>
      </c>
      <c r="J159" s="33">
        <v>7849854</v>
      </c>
      <c r="K159" s="33">
        <v>0</v>
      </c>
      <c r="L159" s="33">
        <v>2950003</v>
      </c>
      <c r="M159" s="33">
        <v>0</v>
      </c>
      <c r="N159" s="34">
        <v>10805725</v>
      </c>
      <c r="O159" s="33">
        <v>2630500</v>
      </c>
      <c r="P159" s="35">
        <v>45929</v>
      </c>
      <c r="Q159" s="33">
        <v>2630500</v>
      </c>
      <c r="R159" s="35">
        <v>46020</v>
      </c>
      <c r="S159" s="33">
        <v>2630500</v>
      </c>
      <c r="T159" s="35">
        <v>46112</v>
      </c>
      <c r="U159" s="33">
        <v>2914225</v>
      </c>
      <c r="V159" s="36">
        <v>46195</v>
      </c>
      <c r="W159" s="6">
        <v>0</v>
      </c>
      <c r="X159" s="40" t="s">
        <v>30</v>
      </c>
      <c r="Z159" s="38"/>
      <c r="AA159" s="39"/>
    </row>
    <row r="160" spans="1:27" x14ac:dyDescent="0.25">
      <c r="A160" s="3" t="s">
        <v>338</v>
      </c>
      <c r="B160" s="2" t="s">
        <v>339</v>
      </c>
      <c r="C160" s="3">
        <v>50</v>
      </c>
      <c r="D160" s="33">
        <v>6384513</v>
      </c>
      <c r="E160" s="33">
        <v>2516112</v>
      </c>
      <c r="F160" s="33">
        <v>2936908</v>
      </c>
      <c r="G160" s="33">
        <v>931494</v>
      </c>
      <c r="H160" s="32">
        <v>3868402</v>
      </c>
      <c r="I160" s="33">
        <v>0</v>
      </c>
      <c r="J160" s="33">
        <v>2202681</v>
      </c>
      <c r="K160" s="33">
        <v>0</v>
      </c>
      <c r="L160" s="33">
        <v>632386</v>
      </c>
      <c r="M160" s="33">
        <v>0</v>
      </c>
      <c r="N160" s="34">
        <v>2835067</v>
      </c>
      <c r="O160" s="33">
        <v>693561</v>
      </c>
      <c r="P160" s="35">
        <v>45929</v>
      </c>
      <c r="Q160" s="33">
        <v>693561</v>
      </c>
      <c r="R160" s="35">
        <v>46030</v>
      </c>
      <c r="S160" s="33">
        <v>693561</v>
      </c>
      <c r="T160" s="35">
        <v>46112</v>
      </c>
      <c r="U160" s="33">
        <v>754384</v>
      </c>
      <c r="V160" s="36">
        <v>46195</v>
      </c>
      <c r="W160" s="6">
        <v>0</v>
      </c>
      <c r="X160" s="40" t="s">
        <v>30</v>
      </c>
      <c r="Z160" s="38"/>
      <c r="AA160" s="39"/>
    </row>
    <row r="161" spans="1:27" x14ac:dyDescent="0.25">
      <c r="A161" s="3" t="s">
        <v>340</v>
      </c>
      <c r="B161" s="2" t="s">
        <v>341</v>
      </c>
      <c r="C161" s="3">
        <v>49</v>
      </c>
      <c r="D161" s="33">
        <v>6144071</v>
      </c>
      <c r="E161" s="33">
        <v>2568531</v>
      </c>
      <c r="F161" s="33">
        <v>2653133</v>
      </c>
      <c r="G161" s="33">
        <v>922407</v>
      </c>
      <c r="H161" s="32">
        <v>3575540</v>
      </c>
      <c r="I161" s="33">
        <v>0</v>
      </c>
      <c r="J161" s="33">
        <v>1989850</v>
      </c>
      <c r="K161" s="33">
        <v>0</v>
      </c>
      <c r="L161" s="33">
        <v>626217</v>
      </c>
      <c r="M161" s="33">
        <v>0</v>
      </c>
      <c r="N161" s="34">
        <v>2616067</v>
      </c>
      <c r="O161" s="33">
        <v>638960</v>
      </c>
      <c r="P161" s="35">
        <v>45929</v>
      </c>
      <c r="Q161" s="33">
        <v>638960</v>
      </c>
      <c r="R161" s="35">
        <v>46020</v>
      </c>
      <c r="S161" s="33">
        <v>638960</v>
      </c>
      <c r="T161" s="35">
        <v>46112</v>
      </c>
      <c r="U161" s="33">
        <v>699187</v>
      </c>
      <c r="V161" s="36">
        <v>46195</v>
      </c>
      <c r="W161" s="6">
        <v>0</v>
      </c>
      <c r="X161" s="40" t="s">
        <v>30</v>
      </c>
      <c r="Z161" s="38"/>
      <c r="AA161" s="39"/>
    </row>
    <row r="162" spans="1:27" x14ac:dyDescent="0.25">
      <c r="A162" s="3" t="s">
        <v>342</v>
      </c>
      <c r="B162" s="2" t="s">
        <v>343</v>
      </c>
      <c r="C162" s="3">
        <v>179</v>
      </c>
      <c r="D162" s="33">
        <v>23833370</v>
      </c>
      <c r="E162" s="33">
        <v>9356792</v>
      </c>
      <c r="F162" s="33">
        <v>9564501</v>
      </c>
      <c r="G162" s="33">
        <v>4912077</v>
      </c>
      <c r="H162" s="32">
        <v>14476578</v>
      </c>
      <c r="I162" s="33">
        <v>31541</v>
      </c>
      <c r="J162" s="33">
        <v>7149720</v>
      </c>
      <c r="K162" s="33">
        <v>33135</v>
      </c>
      <c r="L162" s="33">
        <v>3312288</v>
      </c>
      <c r="M162" s="33">
        <v>0</v>
      </c>
      <c r="N162" s="34">
        <v>10526684</v>
      </c>
      <c r="O162" s="33">
        <v>2552029</v>
      </c>
      <c r="P162" s="35">
        <v>45929</v>
      </c>
      <c r="Q162" s="33">
        <v>2552029</v>
      </c>
      <c r="R162" s="35">
        <v>46020</v>
      </c>
      <c r="S162" s="33">
        <v>2552029</v>
      </c>
      <c r="T162" s="35">
        <v>46112</v>
      </c>
      <c r="U162" s="33">
        <v>2870597</v>
      </c>
      <c r="V162" s="36">
        <v>46195</v>
      </c>
      <c r="W162" s="6">
        <v>0</v>
      </c>
      <c r="X162" s="40" t="s">
        <v>30</v>
      </c>
      <c r="Z162" s="38"/>
      <c r="AA162" s="39"/>
    </row>
    <row r="163" spans="1:27" x14ac:dyDescent="0.25">
      <c r="A163" s="3" t="s">
        <v>344</v>
      </c>
      <c r="B163" s="2" t="s">
        <v>345</v>
      </c>
      <c r="C163" s="3">
        <v>1</v>
      </c>
      <c r="D163" s="33">
        <v>466977</v>
      </c>
      <c r="E163" s="33">
        <v>52419</v>
      </c>
      <c r="F163" s="33">
        <v>414558</v>
      </c>
      <c r="G163" s="33">
        <v>0</v>
      </c>
      <c r="H163" s="32">
        <v>414558</v>
      </c>
      <c r="I163" s="33">
        <v>0</v>
      </c>
      <c r="J163" s="33">
        <v>310919</v>
      </c>
      <c r="K163" s="33">
        <v>0</v>
      </c>
      <c r="L163" s="33">
        <v>0</v>
      </c>
      <c r="M163" s="33">
        <v>0</v>
      </c>
      <c r="N163" s="34">
        <v>310919</v>
      </c>
      <c r="O163" s="33">
        <v>77730</v>
      </c>
      <c r="P163" s="35">
        <v>45929</v>
      </c>
      <c r="Q163" s="33">
        <v>77730</v>
      </c>
      <c r="R163" s="35">
        <v>46020</v>
      </c>
      <c r="S163" s="33">
        <v>77730</v>
      </c>
      <c r="T163" s="35">
        <v>46112</v>
      </c>
      <c r="U163" s="33">
        <v>77729</v>
      </c>
      <c r="V163" s="36">
        <v>46195</v>
      </c>
      <c r="W163" s="6">
        <v>0</v>
      </c>
      <c r="X163" s="40" t="s">
        <v>30</v>
      </c>
      <c r="Z163" s="38"/>
      <c r="AA163" s="39"/>
    </row>
    <row r="164" spans="1:27" x14ac:dyDescent="0.25">
      <c r="A164" s="3" t="s">
        <v>346</v>
      </c>
      <c r="B164" s="2" t="s">
        <v>347</v>
      </c>
      <c r="C164" s="3">
        <v>4</v>
      </c>
      <c r="D164" s="33">
        <v>756785</v>
      </c>
      <c r="E164" s="33">
        <v>209676</v>
      </c>
      <c r="F164" s="33">
        <v>459928</v>
      </c>
      <c r="G164" s="33">
        <v>87181</v>
      </c>
      <c r="H164" s="32">
        <v>547109</v>
      </c>
      <c r="I164" s="33">
        <v>0</v>
      </c>
      <c r="J164" s="33">
        <v>344946</v>
      </c>
      <c r="K164" s="33">
        <v>0</v>
      </c>
      <c r="L164" s="33">
        <v>59187</v>
      </c>
      <c r="M164" s="33">
        <v>-3625</v>
      </c>
      <c r="N164" s="34">
        <v>400508</v>
      </c>
      <c r="O164" s="33">
        <v>98704</v>
      </c>
      <c r="P164" s="35">
        <v>45929</v>
      </c>
      <c r="Q164" s="33">
        <v>98704</v>
      </c>
      <c r="R164" s="35">
        <v>46020</v>
      </c>
      <c r="S164" s="33">
        <v>98704</v>
      </c>
      <c r="T164" s="35">
        <v>46112</v>
      </c>
      <c r="U164" s="33">
        <v>104396</v>
      </c>
      <c r="V164" s="36">
        <v>46195</v>
      </c>
      <c r="W164" s="6">
        <v>0</v>
      </c>
      <c r="X164" s="40" t="s">
        <v>30</v>
      </c>
      <c r="Z164" s="38"/>
      <c r="AA164" s="39"/>
    </row>
    <row r="165" spans="1:27" x14ac:dyDescent="0.25">
      <c r="A165" s="3" t="s">
        <v>348</v>
      </c>
      <c r="B165" s="2" t="s">
        <v>349</v>
      </c>
      <c r="C165" s="3">
        <v>27</v>
      </c>
      <c r="D165" s="33">
        <v>3755616</v>
      </c>
      <c r="E165" s="33">
        <v>1389104</v>
      </c>
      <c r="F165" s="33">
        <v>1869741</v>
      </c>
      <c r="G165" s="33">
        <v>496772</v>
      </c>
      <c r="H165" s="32">
        <v>2366513</v>
      </c>
      <c r="I165" s="33">
        <v>0</v>
      </c>
      <c r="J165" s="33">
        <v>1402306</v>
      </c>
      <c r="K165" s="33">
        <v>0</v>
      </c>
      <c r="L165" s="33">
        <v>337256</v>
      </c>
      <c r="M165" s="33">
        <v>0</v>
      </c>
      <c r="N165" s="34">
        <v>1739562</v>
      </c>
      <c r="O165" s="33">
        <v>426781</v>
      </c>
      <c r="P165" s="35">
        <v>45929</v>
      </c>
      <c r="Q165" s="33">
        <v>426781</v>
      </c>
      <c r="R165" s="35">
        <v>46020</v>
      </c>
      <c r="S165" s="33">
        <v>426781</v>
      </c>
      <c r="T165" s="35">
        <v>46112</v>
      </c>
      <c r="U165" s="33">
        <v>459219</v>
      </c>
      <c r="V165" s="36">
        <v>46195</v>
      </c>
      <c r="W165" s="6">
        <v>0</v>
      </c>
      <c r="X165" s="40" t="s">
        <v>30</v>
      </c>
      <c r="Z165" s="38"/>
      <c r="AA165" s="39"/>
    </row>
    <row r="166" spans="1:27" x14ac:dyDescent="0.25">
      <c r="A166" s="3" t="s">
        <v>350</v>
      </c>
      <c r="B166" s="2" t="s">
        <v>351</v>
      </c>
      <c r="C166" s="3">
        <v>15</v>
      </c>
      <c r="D166" s="33">
        <v>2128088</v>
      </c>
      <c r="E166" s="33">
        <v>786285</v>
      </c>
      <c r="F166" s="33">
        <v>960304</v>
      </c>
      <c r="G166" s="33">
        <v>381500</v>
      </c>
      <c r="H166" s="32">
        <v>1341804</v>
      </c>
      <c r="I166" s="33">
        <v>0</v>
      </c>
      <c r="J166" s="33">
        <v>720228</v>
      </c>
      <c r="K166" s="33">
        <v>0</v>
      </c>
      <c r="L166" s="33">
        <v>258998</v>
      </c>
      <c r="M166" s="33">
        <v>0</v>
      </c>
      <c r="N166" s="34">
        <v>979226</v>
      </c>
      <c r="O166" s="33">
        <v>238579</v>
      </c>
      <c r="P166" s="35">
        <v>45929</v>
      </c>
      <c r="Q166" s="33">
        <v>238579</v>
      </c>
      <c r="R166" s="35">
        <v>46020</v>
      </c>
      <c r="S166" s="33">
        <v>238579</v>
      </c>
      <c r="T166" s="35">
        <v>46112</v>
      </c>
      <c r="U166" s="33">
        <v>263489</v>
      </c>
      <c r="V166" s="36">
        <v>46195</v>
      </c>
      <c r="W166" s="6">
        <v>0</v>
      </c>
      <c r="X166" s="40" t="s">
        <v>30</v>
      </c>
      <c r="Z166" s="38"/>
      <c r="AA166" s="39"/>
    </row>
    <row r="167" spans="1:27" x14ac:dyDescent="0.25">
      <c r="A167" s="3" t="s">
        <v>352</v>
      </c>
      <c r="B167" s="2" t="s">
        <v>353</v>
      </c>
      <c r="C167" s="3">
        <v>61</v>
      </c>
      <c r="D167" s="33">
        <v>7920868</v>
      </c>
      <c r="E167" s="33">
        <v>3092721</v>
      </c>
      <c r="F167" s="33">
        <v>3533385</v>
      </c>
      <c r="G167" s="33">
        <v>1294762</v>
      </c>
      <c r="H167" s="32">
        <v>4828147</v>
      </c>
      <c r="I167" s="33">
        <v>141022</v>
      </c>
      <c r="J167" s="33">
        <v>2544272</v>
      </c>
      <c r="K167" s="33">
        <v>125099</v>
      </c>
      <c r="L167" s="33">
        <v>794078</v>
      </c>
      <c r="M167" s="33">
        <v>0</v>
      </c>
      <c r="N167" s="34">
        <v>3604471</v>
      </c>
      <c r="O167" s="33">
        <v>882025</v>
      </c>
      <c r="P167" s="35">
        <v>45929</v>
      </c>
      <c r="Q167" s="33">
        <v>882025</v>
      </c>
      <c r="R167" s="35">
        <v>46020</v>
      </c>
      <c r="S167" s="33">
        <v>882025</v>
      </c>
      <c r="T167" s="35">
        <v>46112</v>
      </c>
      <c r="U167" s="33">
        <v>958396</v>
      </c>
      <c r="V167" s="36">
        <v>46195</v>
      </c>
      <c r="W167" s="6">
        <v>0</v>
      </c>
      <c r="X167" s="40" t="s">
        <v>30</v>
      </c>
      <c r="Z167" s="38"/>
      <c r="AA167" s="39"/>
    </row>
    <row r="168" spans="1:27" x14ac:dyDescent="0.25">
      <c r="A168" s="3" t="s">
        <v>354</v>
      </c>
      <c r="B168" s="2" t="s">
        <v>355</v>
      </c>
      <c r="C168" s="3">
        <v>26</v>
      </c>
      <c r="D168" s="33">
        <v>3176540</v>
      </c>
      <c r="E168" s="33">
        <v>1362894</v>
      </c>
      <c r="F168" s="33">
        <v>1601884</v>
      </c>
      <c r="G168" s="33">
        <v>211763</v>
      </c>
      <c r="H168" s="32">
        <v>1813647</v>
      </c>
      <c r="I168" s="33">
        <v>0</v>
      </c>
      <c r="J168" s="33">
        <v>1201413</v>
      </c>
      <c r="K168" s="33">
        <v>0</v>
      </c>
      <c r="L168" s="33">
        <v>143765</v>
      </c>
      <c r="M168" s="33">
        <v>0</v>
      </c>
      <c r="N168" s="34">
        <v>1345178</v>
      </c>
      <c r="O168" s="33">
        <v>332838</v>
      </c>
      <c r="P168" s="35">
        <v>45929</v>
      </c>
      <c r="Q168" s="33">
        <v>332838</v>
      </c>
      <c r="R168" s="35">
        <v>46020</v>
      </c>
      <c r="S168" s="33">
        <v>332838</v>
      </c>
      <c r="T168" s="35">
        <v>46112</v>
      </c>
      <c r="U168" s="33">
        <v>346664</v>
      </c>
      <c r="V168" s="36">
        <v>46195</v>
      </c>
      <c r="W168" s="6">
        <v>0</v>
      </c>
      <c r="X168" s="40" t="s">
        <v>30</v>
      </c>
      <c r="Z168" s="38"/>
      <c r="AA168" s="39"/>
    </row>
    <row r="169" spans="1:27" x14ac:dyDescent="0.25">
      <c r="A169" s="3" t="s">
        <v>356</v>
      </c>
      <c r="B169" s="2" t="s">
        <v>357</v>
      </c>
      <c r="C169" s="3">
        <v>44</v>
      </c>
      <c r="D169" s="33">
        <v>5902125</v>
      </c>
      <c r="E169" s="33">
        <v>2227808</v>
      </c>
      <c r="F169" s="33">
        <v>2579929</v>
      </c>
      <c r="G169" s="33">
        <v>1094389</v>
      </c>
      <c r="H169" s="32">
        <v>3674318</v>
      </c>
      <c r="I169" s="33">
        <v>0</v>
      </c>
      <c r="J169" s="33">
        <v>1934947</v>
      </c>
      <c r="K169" s="33">
        <v>0</v>
      </c>
      <c r="L169" s="33">
        <v>742975</v>
      </c>
      <c r="M169" s="33">
        <v>0</v>
      </c>
      <c r="N169" s="34">
        <v>2677922</v>
      </c>
      <c r="O169" s="33">
        <v>651616</v>
      </c>
      <c r="P169" s="35">
        <v>45929</v>
      </c>
      <c r="Q169" s="33">
        <v>651616</v>
      </c>
      <c r="R169" s="35">
        <v>46020</v>
      </c>
      <c r="S169" s="33">
        <v>651616</v>
      </c>
      <c r="T169" s="35">
        <v>46112</v>
      </c>
      <c r="U169" s="33">
        <v>723074</v>
      </c>
      <c r="V169" s="36">
        <v>46195</v>
      </c>
      <c r="W169" s="6">
        <v>0</v>
      </c>
      <c r="X169" s="40" t="s">
        <v>30</v>
      </c>
      <c r="Z169" s="38"/>
      <c r="AA169" s="39"/>
    </row>
    <row r="170" spans="1:27" x14ac:dyDescent="0.25">
      <c r="A170" s="3" t="s">
        <v>358</v>
      </c>
      <c r="B170" s="2" t="s">
        <v>359</v>
      </c>
      <c r="C170" s="3">
        <v>27</v>
      </c>
      <c r="D170" s="33">
        <v>4384391</v>
      </c>
      <c r="E170" s="33">
        <v>1389104</v>
      </c>
      <c r="F170" s="33">
        <v>2386968</v>
      </c>
      <c r="G170" s="33">
        <v>608319</v>
      </c>
      <c r="H170" s="32">
        <v>2995287</v>
      </c>
      <c r="I170" s="33">
        <v>0</v>
      </c>
      <c r="J170" s="33">
        <v>1790226</v>
      </c>
      <c r="K170" s="33">
        <v>0</v>
      </c>
      <c r="L170" s="33">
        <v>412985</v>
      </c>
      <c r="M170" s="33">
        <v>0</v>
      </c>
      <c r="N170" s="34">
        <v>2203211</v>
      </c>
      <c r="O170" s="33">
        <v>540873</v>
      </c>
      <c r="P170" s="35">
        <v>45929</v>
      </c>
      <c r="Q170" s="33">
        <v>540873</v>
      </c>
      <c r="R170" s="35">
        <v>46020</v>
      </c>
      <c r="S170" s="33">
        <v>540873</v>
      </c>
      <c r="T170" s="35">
        <v>46112</v>
      </c>
      <c r="U170" s="33">
        <v>580592</v>
      </c>
      <c r="V170" s="36">
        <v>46195</v>
      </c>
      <c r="W170" s="6">
        <v>0</v>
      </c>
      <c r="X170" s="40" t="s">
        <v>30</v>
      </c>
      <c r="Z170" s="38"/>
      <c r="AA170" s="39"/>
    </row>
    <row r="171" spans="1:27" x14ac:dyDescent="0.25">
      <c r="A171" s="3" t="s">
        <v>360</v>
      </c>
      <c r="B171" s="2" t="s">
        <v>361</v>
      </c>
      <c r="C171" s="3">
        <v>33</v>
      </c>
      <c r="D171" s="33">
        <v>4397330</v>
      </c>
      <c r="E171" s="33">
        <v>1729827</v>
      </c>
      <c r="F171" s="33">
        <v>2022264</v>
      </c>
      <c r="G171" s="33">
        <v>645239</v>
      </c>
      <c r="H171" s="32">
        <v>2667503</v>
      </c>
      <c r="I171" s="33">
        <v>0</v>
      </c>
      <c r="J171" s="33">
        <v>1516698</v>
      </c>
      <c r="K171" s="33">
        <v>0</v>
      </c>
      <c r="L171" s="33">
        <v>438049</v>
      </c>
      <c r="M171" s="33">
        <v>0</v>
      </c>
      <c r="N171" s="34">
        <v>1954747</v>
      </c>
      <c r="O171" s="33">
        <v>478154</v>
      </c>
      <c r="P171" s="35">
        <v>45929</v>
      </c>
      <c r="Q171" s="33">
        <v>478154</v>
      </c>
      <c r="R171" s="35">
        <v>46020</v>
      </c>
      <c r="S171" s="33">
        <v>478154</v>
      </c>
      <c r="T171" s="35">
        <v>46112</v>
      </c>
      <c r="U171" s="33">
        <v>520285</v>
      </c>
      <c r="V171" s="36">
        <v>46195</v>
      </c>
      <c r="W171" s="6">
        <v>0</v>
      </c>
      <c r="X171" s="40" t="s">
        <v>30</v>
      </c>
      <c r="Z171" s="38"/>
      <c r="AA171" s="39"/>
    </row>
    <row r="172" spans="1:27" x14ac:dyDescent="0.25">
      <c r="A172" s="3" t="s">
        <v>362</v>
      </c>
      <c r="B172" s="2" t="s">
        <v>363</v>
      </c>
      <c r="C172" s="3">
        <v>49</v>
      </c>
      <c r="D172" s="33">
        <v>6537790</v>
      </c>
      <c r="E172" s="33">
        <v>2542322</v>
      </c>
      <c r="F172" s="33">
        <v>2884412</v>
      </c>
      <c r="G172" s="33">
        <v>1111056</v>
      </c>
      <c r="H172" s="32">
        <v>3995468</v>
      </c>
      <c r="I172" s="33">
        <v>0</v>
      </c>
      <c r="J172" s="33">
        <v>2163309</v>
      </c>
      <c r="K172" s="33">
        <v>0</v>
      </c>
      <c r="L172" s="33">
        <v>754290</v>
      </c>
      <c r="M172" s="33">
        <v>0</v>
      </c>
      <c r="N172" s="34">
        <v>2917599</v>
      </c>
      <c r="O172" s="33">
        <v>711263</v>
      </c>
      <c r="P172" s="35">
        <v>45929</v>
      </c>
      <c r="Q172" s="33">
        <v>711263</v>
      </c>
      <c r="R172" s="35">
        <v>46020</v>
      </c>
      <c r="S172" s="33">
        <v>711263</v>
      </c>
      <c r="T172" s="35">
        <v>46112</v>
      </c>
      <c r="U172" s="33">
        <v>783810</v>
      </c>
      <c r="V172" s="36">
        <v>46195</v>
      </c>
      <c r="W172" s="6">
        <v>0</v>
      </c>
      <c r="X172" s="40" t="s">
        <v>30</v>
      </c>
      <c r="Z172" s="38"/>
      <c r="AA172" s="39"/>
    </row>
    <row r="173" spans="1:27" x14ac:dyDescent="0.25">
      <c r="A173" s="3" t="s">
        <v>364</v>
      </c>
      <c r="B173" s="2" t="s">
        <v>365</v>
      </c>
      <c r="C173" s="3">
        <v>3</v>
      </c>
      <c r="D173" s="33">
        <v>298736</v>
      </c>
      <c r="E173" s="33">
        <v>157257</v>
      </c>
      <c r="F173" s="33">
        <v>68513</v>
      </c>
      <c r="G173" s="33">
        <v>72967</v>
      </c>
      <c r="H173" s="32">
        <v>141480</v>
      </c>
      <c r="I173" s="33">
        <v>0</v>
      </c>
      <c r="J173" s="33">
        <v>51385</v>
      </c>
      <c r="K173" s="33">
        <v>0</v>
      </c>
      <c r="L173" s="33">
        <v>49537</v>
      </c>
      <c r="M173" s="33">
        <v>0</v>
      </c>
      <c r="N173" s="34">
        <v>100922</v>
      </c>
      <c r="O173" s="33">
        <v>24039</v>
      </c>
      <c r="P173" s="35">
        <v>45929</v>
      </c>
      <c r="Q173" s="33">
        <v>24039</v>
      </c>
      <c r="R173" s="35">
        <v>46020</v>
      </c>
      <c r="S173" s="33">
        <v>24039</v>
      </c>
      <c r="T173" s="35">
        <v>46112</v>
      </c>
      <c r="U173" s="33">
        <v>28805</v>
      </c>
      <c r="V173" s="36">
        <v>46195</v>
      </c>
      <c r="W173" s="6">
        <v>0</v>
      </c>
      <c r="X173" s="40" t="s">
        <v>30</v>
      </c>
      <c r="Z173" s="38"/>
      <c r="AA173" s="39"/>
    </row>
    <row r="174" spans="1:27" x14ac:dyDescent="0.25">
      <c r="A174" s="3" t="s">
        <v>366</v>
      </c>
      <c r="B174" s="2" t="s">
        <v>367</v>
      </c>
      <c r="C174" s="3">
        <v>101</v>
      </c>
      <c r="D174" s="33">
        <v>11478719</v>
      </c>
      <c r="E174" s="33">
        <v>5268110</v>
      </c>
      <c r="F174" s="33">
        <v>4841596</v>
      </c>
      <c r="G174" s="33">
        <v>1369014</v>
      </c>
      <c r="H174" s="32">
        <v>6210610</v>
      </c>
      <c r="I174" s="33">
        <v>0</v>
      </c>
      <c r="J174" s="33">
        <v>3631197</v>
      </c>
      <c r="K174" s="33">
        <v>0</v>
      </c>
      <c r="L174" s="33">
        <v>929416</v>
      </c>
      <c r="M174" s="33">
        <v>0</v>
      </c>
      <c r="N174" s="34">
        <v>4560613</v>
      </c>
      <c r="O174" s="33">
        <v>1112732</v>
      </c>
      <c r="P174" s="35">
        <v>45929</v>
      </c>
      <c r="Q174" s="33">
        <v>1112732</v>
      </c>
      <c r="R174" s="35">
        <v>46020</v>
      </c>
      <c r="S174" s="33">
        <v>1121081</v>
      </c>
      <c r="T174" s="35">
        <v>46112</v>
      </c>
      <c r="U174" s="33">
        <v>1214068</v>
      </c>
      <c r="V174" s="36">
        <v>46195</v>
      </c>
      <c r="W174" s="6">
        <v>0</v>
      </c>
      <c r="X174" s="40" t="s">
        <v>30</v>
      </c>
      <c r="Z174" s="38"/>
      <c r="AA174" s="39"/>
    </row>
    <row r="175" spans="1:27" x14ac:dyDescent="0.25">
      <c r="A175" s="3" t="s">
        <v>368</v>
      </c>
      <c r="B175" s="2" t="s">
        <v>369</v>
      </c>
      <c r="C175" s="3">
        <v>1</v>
      </c>
      <c r="D175" s="33">
        <v>79110</v>
      </c>
      <c r="E175" s="33">
        <v>52419</v>
      </c>
      <c r="F175" s="33">
        <v>0</v>
      </c>
      <c r="G175" s="33">
        <v>26691</v>
      </c>
      <c r="H175" s="32">
        <v>26691</v>
      </c>
      <c r="I175" s="33">
        <v>0</v>
      </c>
      <c r="J175" s="33">
        <v>0</v>
      </c>
      <c r="K175" s="33">
        <v>0</v>
      </c>
      <c r="L175" s="33">
        <v>18120</v>
      </c>
      <c r="M175" s="33">
        <v>-577</v>
      </c>
      <c r="N175" s="34">
        <v>17543</v>
      </c>
      <c r="O175" s="33">
        <v>3950</v>
      </c>
      <c r="P175" s="35">
        <v>45929</v>
      </c>
      <c r="Q175" s="33">
        <v>3950</v>
      </c>
      <c r="R175" s="35">
        <v>46020</v>
      </c>
      <c r="S175" s="33">
        <v>3950</v>
      </c>
      <c r="T175" s="35">
        <v>46112</v>
      </c>
      <c r="U175" s="33">
        <v>5693</v>
      </c>
      <c r="V175" s="36">
        <v>46195</v>
      </c>
      <c r="W175" s="6">
        <v>19569</v>
      </c>
      <c r="X175" s="40" t="s">
        <v>77</v>
      </c>
      <c r="Z175" s="38"/>
      <c r="AA175" s="39"/>
    </row>
    <row r="176" spans="1:27" x14ac:dyDescent="0.25">
      <c r="A176" s="3" t="s">
        <v>370</v>
      </c>
      <c r="B176" s="2" t="s">
        <v>371</v>
      </c>
      <c r="C176" s="3">
        <v>15</v>
      </c>
      <c r="D176" s="33">
        <v>2039254</v>
      </c>
      <c r="E176" s="33">
        <v>760076</v>
      </c>
      <c r="F176" s="33">
        <v>712907</v>
      </c>
      <c r="G176" s="33">
        <v>566271</v>
      </c>
      <c r="H176" s="32">
        <v>1279178</v>
      </c>
      <c r="I176" s="33">
        <v>0</v>
      </c>
      <c r="J176" s="33">
        <v>534680</v>
      </c>
      <c r="K176" s="33">
        <v>0</v>
      </c>
      <c r="L176" s="33">
        <v>384438</v>
      </c>
      <c r="M176" s="33">
        <v>0</v>
      </c>
      <c r="N176" s="34">
        <v>919118</v>
      </c>
      <c r="O176" s="33">
        <v>220536</v>
      </c>
      <c r="P176" s="35">
        <v>45929</v>
      </c>
      <c r="Q176" s="33">
        <v>220536</v>
      </c>
      <c r="R176" s="35">
        <v>46020</v>
      </c>
      <c r="S176" s="33">
        <v>220536</v>
      </c>
      <c r="T176" s="35">
        <v>46112</v>
      </c>
      <c r="U176" s="33">
        <v>257510</v>
      </c>
      <c r="V176" s="36">
        <v>46195</v>
      </c>
      <c r="W176" s="6">
        <v>0</v>
      </c>
      <c r="X176" s="40" t="s">
        <v>30</v>
      </c>
      <c r="Z176" s="38"/>
      <c r="AA176" s="39"/>
    </row>
    <row r="177" spans="1:27" x14ac:dyDescent="0.25">
      <c r="A177" s="3" t="s">
        <v>372</v>
      </c>
      <c r="B177" s="2" t="s">
        <v>373</v>
      </c>
      <c r="C177" s="3">
        <v>60</v>
      </c>
      <c r="D177" s="33">
        <v>8091496</v>
      </c>
      <c r="E177" s="33">
        <v>3092721</v>
      </c>
      <c r="F177" s="33">
        <v>3445176</v>
      </c>
      <c r="G177" s="33">
        <v>1553599</v>
      </c>
      <c r="H177" s="32">
        <v>4998775</v>
      </c>
      <c r="I177" s="33">
        <v>0</v>
      </c>
      <c r="J177" s="33">
        <v>2583882</v>
      </c>
      <c r="K177" s="33">
        <v>0</v>
      </c>
      <c r="L177" s="33">
        <v>1054730</v>
      </c>
      <c r="M177" s="33">
        <v>0</v>
      </c>
      <c r="N177" s="34">
        <v>3638612</v>
      </c>
      <c r="O177" s="33">
        <v>884293</v>
      </c>
      <c r="P177" s="35">
        <v>45929</v>
      </c>
      <c r="Q177" s="33">
        <v>884293</v>
      </c>
      <c r="R177" s="35">
        <v>46020</v>
      </c>
      <c r="S177" s="33">
        <v>884293</v>
      </c>
      <c r="T177" s="35">
        <v>46112</v>
      </c>
      <c r="U177" s="33">
        <v>985733</v>
      </c>
      <c r="V177" s="36">
        <v>46195</v>
      </c>
      <c r="W177" s="6">
        <v>0</v>
      </c>
      <c r="X177" s="40" t="s">
        <v>30</v>
      </c>
      <c r="Z177" s="38"/>
      <c r="AA177" s="39"/>
    </row>
    <row r="178" spans="1:27" x14ac:dyDescent="0.25">
      <c r="A178" s="3" t="s">
        <v>374</v>
      </c>
      <c r="B178" s="2" t="s">
        <v>375</v>
      </c>
      <c r="C178" s="3">
        <v>5</v>
      </c>
      <c r="D178" s="33">
        <v>501984</v>
      </c>
      <c r="E178" s="33">
        <v>262095</v>
      </c>
      <c r="F178" s="33">
        <v>171718</v>
      </c>
      <c r="G178" s="33">
        <v>68171</v>
      </c>
      <c r="H178" s="32">
        <v>239889</v>
      </c>
      <c r="I178" s="33">
        <v>0</v>
      </c>
      <c r="J178" s="33">
        <v>128789</v>
      </c>
      <c r="K178" s="33">
        <v>0</v>
      </c>
      <c r="L178" s="33">
        <v>46281</v>
      </c>
      <c r="M178" s="33">
        <v>-3784</v>
      </c>
      <c r="N178" s="34">
        <v>171286</v>
      </c>
      <c r="O178" s="33">
        <v>41709</v>
      </c>
      <c r="P178" s="35">
        <v>45929</v>
      </c>
      <c r="Q178" s="33">
        <v>41709</v>
      </c>
      <c r="R178" s="35">
        <v>46030</v>
      </c>
      <c r="S178" s="33">
        <v>41709</v>
      </c>
      <c r="T178" s="35">
        <v>46112</v>
      </c>
      <c r="U178" s="33">
        <v>46159</v>
      </c>
      <c r="V178" s="36">
        <v>46195</v>
      </c>
      <c r="W178" s="6">
        <v>0</v>
      </c>
      <c r="X178" s="40" t="s">
        <v>30</v>
      </c>
      <c r="Z178" s="38"/>
      <c r="AA178" s="39"/>
    </row>
    <row r="179" spans="1:27" x14ac:dyDescent="0.25">
      <c r="A179" s="3" t="s">
        <v>376</v>
      </c>
      <c r="B179" s="2" t="s">
        <v>377</v>
      </c>
      <c r="C179" s="3">
        <v>20</v>
      </c>
      <c r="D179" s="33">
        <v>2879297</v>
      </c>
      <c r="E179" s="33">
        <v>1048380</v>
      </c>
      <c r="F179" s="33">
        <v>1471231</v>
      </c>
      <c r="G179" s="33">
        <v>359686</v>
      </c>
      <c r="H179" s="32">
        <v>1830917</v>
      </c>
      <c r="I179" s="33">
        <v>0</v>
      </c>
      <c r="J179" s="33">
        <v>1103423</v>
      </c>
      <c r="K179" s="33">
        <v>0</v>
      </c>
      <c r="L179" s="33">
        <v>244189</v>
      </c>
      <c r="M179" s="33">
        <v>0</v>
      </c>
      <c r="N179" s="34">
        <v>1347612</v>
      </c>
      <c r="O179" s="33">
        <v>327023</v>
      </c>
      <c r="P179" s="35">
        <v>45929</v>
      </c>
      <c r="Q179" s="33">
        <v>327023</v>
      </c>
      <c r="R179" s="35">
        <v>46020</v>
      </c>
      <c r="S179" s="33">
        <v>327023</v>
      </c>
      <c r="T179" s="35">
        <v>46112</v>
      </c>
      <c r="U179" s="33">
        <v>366543</v>
      </c>
      <c r="V179" s="36">
        <v>46195</v>
      </c>
      <c r="W179" s="6">
        <v>201400</v>
      </c>
      <c r="X179" s="40" t="s">
        <v>77</v>
      </c>
      <c r="Z179" s="38"/>
      <c r="AA179" s="39"/>
    </row>
    <row r="180" spans="1:27" x14ac:dyDescent="0.25">
      <c r="A180" s="3" t="s">
        <v>378</v>
      </c>
      <c r="B180" s="2" t="s">
        <v>379</v>
      </c>
      <c r="C180" s="3">
        <v>35</v>
      </c>
      <c r="D180" s="33">
        <v>4576606</v>
      </c>
      <c r="E180" s="33">
        <v>1834665</v>
      </c>
      <c r="F180" s="33">
        <v>2042263</v>
      </c>
      <c r="G180" s="33">
        <v>699678</v>
      </c>
      <c r="H180" s="32">
        <v>2741941</v>
      </c>
      <c r="I180" s="33">
        <v>0</v>
      </c>
      <c r="J180" s="33">
        <v>1531697</v>
      </c>
      <c r="K180" s="33">
        <v>0</v>
      </c>
      <c r="L180" s="33">
        <v>475008</v>
      </c>
      <c r="M180" s="33">
        <v>0</v>
      </c>
      <c r="N180" s="34">
        <v>2006705</v>
      </c>
      <c r="O180" s="33">
        <v>490255</v>
      </c>
      <c r="P180" s="35">
        <v>45929</v>
      </c>
      <c r="Q180" s="33">
        <v>490255</v>
      </c>
      <c r="R180" s="35">
        <v>46020</v>
      </c>
      <c r="S180" s="33">
        <v>490255</v>
      </c>
      <c r="T180" s="35">
        <v>46112</v>
      </c>
      <c r="U180" s="33">
        <v>535940</v>
      </c>
      <c r="V180" s="36">
        <v>46195</v>
      </c>
      <c r="W180" s="6">
        <v>261935</v>
      </c>
      <c r="X180" s="40">
        <v>46174</v>
      </c>
      <c r="Z180" s="38"/>
      <c r="AA180" s="39"/>
    </row>
    <row r="181" spans="1:27" x14ac:dyDescent="0.25">
      <c r="A181" s="3" t="s">
        <v>380</v>
      </c>
      <c r="B181" s="2" t="s">
        <v>381</v>
      </c>
      <c r="C181" s="3">
        <v>33</v>
      </c>
      <c r="D181" s="33">
        <v>3622199</v>
      </c>
      <c r="E181" s="33">
        <v>1729827</v>
      </c>
      <c r="F181" s="33">
        <v>1340907</v>
      </c>
      <c r="G181" s="33">
        <v>551465</v>
      </c>
      <c r="H181" s="32">
        <v>1892372</v>
      </c>
      <c r="I181" s="33">
        <v>115984</v>
      </c>
      <c r="J181" s="33">
        <v>918692</v>
      </c>
      <c r="K181" s="33">
        <v>35559</v>
      </c>
      <c r="L181" s="33">
        <v>350246</v>
      </c>
      <c r="M181" s="33">
        <v>0</v>
      </c>
      <c r="N181" s="34">
        <v>1420481</v>
      </c>
      <c r="O181" s="33">
        <v>346699</v>
      </c>
      <c r="P181" s="35">
        <v>45929</v>
      </c>
      <c r="Q181" s="33">
        <v>346699</v>
      </c>
      <c r="R181" s="35">
        <v>46030</v>
      </c>
      <c r="S181" s="33">
        <v>346699</v>
      </c>
      <c r="T181" s="35">
        <v>46112</v>
      </c>
      <c r="U181" s="33">
        <v>380384</v>
      </c>
      <c r="V181" s="36">
        <v>46195</v>
      </c>
      <c r="W181" s="6">
        <v>0</v>
      </c>
      <c r="X181" s="40" t="s">
        <v>30</v>
      </c>
      <c r="Z181" s="38"/>
      <c r="AA181" s="39"/>
    </row>
    <row r="182" spans="1:27" x14ac:dyDescent="0.25">
      <c r="A182" s="3" t="s">
        <v>382</v>
      </c>
      <c r="B182" s="2" t="s">
        <v>383</v>
      </c>
      <c r="C182" s="3">
        <v>176</v>
      </c>
      <c r="D182" s="33">
        <v>22933680</v>
      </c>
      <c r="E182" s="33">
        <v>9016068</v>
      </c>
      <c r="F182" s="33">
        <v>10563061</v>
      </c>
      <c r="G182" s="33">
        <v>3354551</v>
      </c>
      <c r="H182" s="32">
        <v>13917612</v>
      </c>
      <c r="I182" s="33">
        <v>2215297</v>
      </c>
      <c r="J182" s="33">
        <v>6260823</v>
      </c>
      <c r="K182" s="33">
        <v>234645</v>
      </c>
      <c r="L182" s="33">
        <v>2118088</v>
      </c>
      <c r="M182" s="33">
        <v>0</v>
      </c>
      <c r="N182" s="34">
        <v>10828853</v>
      </c>
      <c r="O182" s="33">
        <v>2656285</v>
      </c>
      <c r="P182" s="35">
        <v>45929</v>
      </c>
      <c r="Q182" s="33">
        <v>2656285</v>
      </c>
      <c r="R182" s="35">
        <v>46020</v>
      </c>
      <c r="S182" s="33">
        <v>2656285</v>
      </c>
      <c r="T182" s="35">
        <v>46112</v>
      </c>
      <c r="U182" s="33">
        <v>2859998</v>
      </c>
      <c r="V182" s="36">
        <v>46195</v>
      </c>
      <c r="W182" s="6">
        <v>0</v>
      </c>
      <c r="X182" s="40" t="s">
        <v>30</v>
      </c>
      <c r="Z182" s="38"/>
      <c r="AA182" s="39"/>
    </row>
    <row r="183" spans="1:27" x14ac:dyDescent="0.25">
      <c r="A183" s="3" t="s">
        <v>384</v>
      </c>
      <c r="B183" s="2" t="s">
        <v>385</v>
      </c>
      <c r="C183" s="3">
        <v>38</v>
      </c>
      <c r="D183" s="33">
        <v>5518034</v>
      </c>
      <c r="E183" s="33">
        <v>1991922</v>
      </c>
      <c r="F183" s="33">
        <v>2460371</v>
      </c>
      <c r="G183" s="33">
        <v>1065741</v>
      </c>
      <c r="H183" s="32">
        <v>3526112</v>
      </c>
      <c r="I183" s="33">
        <v>0</v>
      </c>
      <c r="J183" s="33">
        <v>1845278</v>
      </c>
      <c r="K183" s="33">
        <v>0</v>
      </c>
      <c r="L183" s="33">
        <v>723526</v>
      </c>
      <c r="M183" s="33">
        <v>0</v>
      </c>
      <c r="N183" s="34">
        <v>2568804</v>
      </c>
      <c r="O183" s="33">
        <v>624804</v>
      </c>
      <c r="P183" s="35">
        <v>45929</v>
      </c>
      <c r="Q183" s="33">
        <v>624804</v>
      </c>
      <c r="R183" s="35">
        <v>46020</v>
      </c>
      <c r="S183" s="33">
        <v>624804</v>
      </c>
      <c r="T183" s="35">
        <v>46112</v>
      </c>
      <c r="U183" s="33">
        <v>694392</v>
      </c>
      <c r="V183" s="36">
        <v>46195</v>
      </c>
      <c r="W183" s="6">
        <v>0</v>
      </c>
      <c r="X183" s="40" t="s">
        <v>30</v>
      </c>
      <c r="Z183" s="38"/>
      <c r="AA183" s="39"/>
    </row>
    <row r="184" spans="1:27" x14ac:dyDescent="0.25">
      <c r="A184" s="3" t="s">
        <v>386</v>
      </c>
      <c r="B184" s="2" t="s">
        <v>387</v>
      </c>
      <c r="C184" s="3">
        <v>42</v>
      </c>
      <c r="D184" s="33">
        <v>6681741</v>
      </c>
      <c r="E184" s="33">
        <v>2201598</v>
      </c>
      <c r="F184" s="33">
        <v>2795955</v>
      </c>
      <c r="G184" s="33">
        <v>1684188</v>
      </c>
      <c r="H184" s="32">
        <v>4480143</v>
      </c>
      <c r="I184" s="33">
        <v>0</v>
      </c>
      <c r="J184" s="33">
        <v>2096966</v>
      </c>
      <c r="K184" s="33">
        <v>0</v>
      </c>
      <c r="L184" s="33">
        <v>1143386</v>
      </c>
      <c r="M184" s="33">
        <v>0</v>
      </c>
      <c r="N184" s="34">
        <v>3240352</v>
      </c>
      <c r="O184" s="33">
        <v>782596</v>
      </c>
      <c r="P184" s="35">
        <v>45929</v>
      </c>
      <c r="Q184" s="33">
        <v>782596</v>
      </c>
      <c r="R184" s="35">
        <v>46020</v>
      </c>
      <c r="S184" s="33">
        <v>782596</v>
      </c>
      <c r="T184" s="35">
        <v>46112</v>
      </c>
      <c r="U184" s="33">
        <v>892564</v>
      </c>
      <c r="V184" s="36">
        <v>46195</v>
      </c>
      <c r="W184" s="6">
        <v>0</v>
      </c>
      <c r="X184" s="40" t="s">
        <v>30</v>
      </c>
      <c r="Z184" s="38"/>
      <c r="AA184" s="39"/>
    </row>
    <row r="185" spans="1:27" x14ac:dyDescent="0.25">
      <c r="A185" s="3" t="s">
        <v>388</v>
      </c>
      <c r="B185" s="2" t="s">
        <v>389</v>
      </c>
      <c r="C185" s="3">
        <v>14</v>
      </c>
      <c r="D185" s="33">
        <v>2597132</v>
      </c>
      <c r="E185" s="33">
        <v>733866</v>
      </c>
      <c r="F185" s="33">
        <v>1360397</v>
      </c>
      <c r="G185" s="33">
        <v>502870</v>
      </c>
      <c r="H185" s="32">
        <v>1863267</v>
      </c>
      <c r="I185" s="33">
        <v>0</v>
      </c>
      <c r="J185" s="33">
        <v>1020298</v>
      </c>
      <c r="K185" s="33">
        <v>0</v>
      </c>
      <c r="L185" s="33">
        <v>341396</v>
      </c>
      <c r="M185" s="33">
        <v>0</v>
      </c>
      <c r="N185" s="34">
        <v>1361694</v>
      </c>
      <c r="O185" s="33">
        <v>332215</v>
      </c>
      <c r="P185" s="35">
        <v>45929</v>
      </c>
      <c r="Q185" s="33">
        <v>332215</v>
      </c>
      <c r="R185" s="35">
        <v>46020</v>
      </c>
      <c r="S185" s="33">
        <v>332215</v>
      </c>
      <c r="T185" s="35">
        <v>46112</v>
      </c>
      <c r="U185" s="33">
        <v>365049</v>
      </c>
      <c r="V185" s="36">
        <v>46195</v>
      </c>
      <c r="W185" s="6">
        <v>0</v>
      </c>
      <c r="X185" s="40" t="s">
        <v>30</v>
      </c>
      <c r="Z185" s="38"/>
      <c r="AA185" s="39"/>
    </row>
    <row r="186" spans="1:27" x14ac:dyDescent="0.25">
      <c r="A186" s="3" t="s">
        <v>390</v>
      </c>
      <c r="B186" s="2" t="s">
        <v>391</v>
      </c>
      <c r="C186" s="3">
        <v>35</v>
      </c>
      <c r="D186" s="33">
        <v>3636866</v>
      </c>
      <c r="E186" s="33">
        <v>1834665</v>
      </c>
      <c r="F186" s="33">
        <v>1361138</v>
      </c>
      <c r="G186" s="33">
        <v>441063</v>
      </c>
      <c r="H186" s="32">
        <v>1802201</v>
      </c>
      <c r="I186" s="33">
        <v>0</v>
      </c>
      <c r="J186" s="33">
        <v>1020854</v>
      </c>
      <c r="K186" s="33">
        <v>0</v>
      </c>
      <c r="L186" s="33">
        <v>299435</v>
      </c>
      <c r="M186" s="33">
        <v>0</v>
      </c>
      <c r="N186" s="34">
        <v>1320289</v>
      </c>
      <c r="O186" s="33">
        <v>322873</v>
      </c>
      <c r="P186" s="35">
        <v>45929</v>
      </c>
      <c r="Q186" s="33">
        <v>322873</v>
      </c>
      <c r="R186" s="35">
        <v>46020</v>
      </c>
      <c r="S186" s="33">
        <v>322873</v>
      </c>
      <c r="T186" s="35">
        <v>46112</v>
      </c>
      <c r="U186" s="33">
        <v>351670</v>
      </c>
      <c r="V186" s="36">
        <v>46195</v>
      </c>
      <c r="W186" s="6">
        <v>0</v>
      </c>
      <c r="X186" s="40" t="s">
        <v>30</v>
      </c>
      <c r="Z186" s="38"/>
      <c r="AA186" s="39"/>
    </row>
    <row r="187" spans="1:27" x14ac:dyDescent="0.25">
      <c r="A187" s="3" t="s">
        <v>392</v>
      </c>
      <c r="B187" s="2" t="s">
        <v>393</v>
      </c>
      <c r="C187" s="3">
        <v>1</v>
      </c>
      <c r="D187" s="33">
        <v>129359</v>
      </c>
      <c r="E187" s="33">
        <v>52419</v>
      </c>
      <c r="F187" s="33">
        <v>44340</v>
      </c>
      <c r="G187" s="33">
        <v>32599</v>
      </c>
      <c r="H187" s="32">
        <v>76939</v>
      </c>
      <c r="I187" s="33">
        <v>0</v>
      </c>
      <c r="J187" s="33">
        <v>33255</v>
      </c>
      <c r="K187" s="33">
        <v>0</v>
      </c>
      <c r="L187" s="33">
        <v>22131</v>
      </c>
      <c r="M187" s="33">
        <v>0</v>
      </c>
      <c r="N187" s="34">
        <v>55386</v>
      </c>
      <c r="O187" s="33">
        <v>13315</v>
      </c>
      <c r="P187" s="35">
        <v>45929</v>
      </c>
      <c r="Q187" s="33">
        <v>13315</v>
      </c>
      <c r="R187" s="35">
        <v>46020</v>
      </c>
      <c r="S187" s="33">
        <v>13315</v>
      </c>
      <c r="T187" s="35">
        <v>46112</v>
      </c>
      <c r="U187" s="33">
        <v>15441</v>
      </c>
      <c r="V187" s="36">
        <v>46195</v>
      </c>
      <c r="W187" s="6">
        <v>0</v>
      </c>
      <c r="X187" s="40" t="s">
        <v>30</v>
      </c>
      <c r="Z187" s="38"/>
      <c r="AA187" s="39"/>
    </row>
    <row r="188" spans="1:27" x14ac:dyDescent="0.25">
      <c r="A188" s="3" t="s">
        <v>394</v>
      </c>
      <c r="B188" s="2" t="s">
        <v>395</v>
      </c>
      <c r="C188" s="3">
        <v>18</v>
      </c>
      <c r="D188" s="33">
        <v>2646449</v>
      </c>
      <c r="E188" s="33">
        <v>943542</v>
      </c>
      <c r="F188" s="33">
        <v>1549402</v>
      </c>
      <c r="G188" s="33">
        <v>153505</v>
      </c>
      <c r="H188" s="32">
        <v>1702907</v>
      </c>
      <c r="I188" s="33">
        <v>0</v>
      </c>
      <c r="J188" s="33">
        <v>1162052</v>
      </c>
      <c r="K188" s="33">
        <v>0</v>
      </c>
      <c r="L188" s="33">
        <v>104214</v>
      </c>
      <c r="M188" s="33">
        <v>0</v>
      </c>
      <c r="N188" s="34">
        <v>1266266</v>
      </c>
      <c r="O188" s="33">
        <v>327766</v>
      </c>
      <c r="P188" s="35">
        <v>45929</v>
      </c>
      <c r="Q188" s="33">
        <v>327766</v>
      </c>
      <c r="R188" s="35">
        <v>46020</v>
      </c>
      <c r="S188" s="33">
        <v>300355</v>
      </c>
      <c r="T188" s="35">
        <v>46112</v>
      </c>
      <c r="U188" s="33">
        <v>310379</v>
      </c>
      <c r="V188" s="36">
        <v>46195</v>
      </c>
      <c r="W188" s="6">
        <v>0</v>
      </c>
      <c r="X188" s="40" t="s">
        <v>30</v>
      </c>
      <c r="Z188" s="38"/>
      <c r="AA188" s="39"/>
    </row>
    <row r="189" spans="1:27" x14ac:dyDescent="0.25">
      <c r="A189" s="3" t="s">
        <v>396</v>
      </c>
      <c r="B189" s="2" t="s">
        <v>397</v>
      </c>
      <c r="C189" s="3">
        <v>32</v>
      </c>
      <c r="D189" s="33">
        <v>4989898</v>
      </c>
      <c r="E189" s="33">
        <v>1598780</v>
      </c>
      <c r="F189" s="33">
        <v>2816942</v>
      </c>
      <c r="G189" s="33">
        <v>574177</v>
      </c>
      <c r="H189" s="32">
        <v>3391119</v>
      </c>
      <c r="I189" s="33">
        <v>0</v>
      </c>
      <c r="J189" s="33">
        <v>2112707</v>
      </c>
      <c r="K189" s="33">
        <v>0</v>
      </c>
      <c r="L189" s="33">
        <v>389806</v>
      </c>
      <c r="M189" s="33">
        <v>0</v>
      </c>
      <c r="N189" s="34">
        <v>2502513</v>
      </c>
      <c r="O189" s="33">
        <v>619153</v>
      </c>
      <c r="P189" s="35">
        <v>45929</v>
      </c>
      <c r="Q189" s="33">
        <v>619153</v>
      </c>
      <c r="R189" s="35">
        <v>46020</v>
      </c>
      <c r="S189" s="33">
        <v>613358</v>
      </c>
      <c r="T189" s="35">
        <v>46112</v>
      </c>
      <c r="U189" s="33">
        <v>650849</v>
      </c>
      <c r="V189" s="36">
        <v>46195</v>
      </c>
      <c r="W189" s="6">
        <v>0</v>
      </c>
      <c r="X189" s="40" t="s">
        <v>30</v>
      </c>
      <c r="Z189" s="38"/>
      <c r="AA189" s="39"/>
    </row>
    <row r="190" spans="1:27" x14ac:dyDescent="0.25">
      <c r="A190" s="3" t="s">
        <v>398</v>
      </c>
      <c r="B190" s="2" t="s">
        <v>399</v>
      </c>
      <c r="C190" s="3">
        <v>24</v>
      </c>
      <c r="D190" s="33">
        <v>2045599</v>
      </c>
      <c r="E190" s="33">
        <v>1205637</v>
      </c>
      <c r="F190" s="33">
        <v>740400</v>
      </c>
      <c r="G190" s="33">
        <v>99562</v>
      </c>
      <c r="H190" s="32">
        <v>839962</v>
      </c>
      <c r="I190" s="33">
        <v>0</v>
      </c>
      <c r="J190" s="33">
        <v>555300</v>
      </c>
      <c r="K190" s="33">
        <v>0</v>
      </c>
      <c r="L190" s="33">
        <v>67592</v>
      </c>
      <c r="M190" s="33">
        <v>0</v>
      </c>
      <c r="N190" s="34">
        <v>622892</v>
      </c>
      <c r="O190" s="33">
        <v>154098</v>
      </c>
      <c r="P190" s="35">
        <v>45929</v>
      </c>
      <c r="Q190" s="33">
        <v>154098</v>
      </c>
      <c r="R190" s="35">
        <v>46020</v>
      </c>
      <c r="S190" s="33">
        <v>154098</v>
      </c>
      <c r="T190" s="35">
        <v>46112</v>
      </c>
      <c r="U190" s="33">
        <v>160598</v>
      </c>
      <c r="V190" s="36">
        <v>46195</v>
      </c>
      <c r="W190" s="6">
        <v>0</v>
      </c>
      <c r="X190" s="40" t="s">
        <v>30</v>
      </c>
      <c r="Z190" s="38"/>
      <c r="AA190" s="39"/>
    </row>
    <row r="191" spans="1:27" x14ac:dyDescent="0.25">
      <c r="A191" s="3" t="s">
        <v>400</v>
      </c>
      <c r="B191" s="2" t="s">
        <v>401</v>
      </c>
      <c r="C191" s="3">
        <v>105</v>
      </c>
      <c r="D191" s="33">
        <v>14876669</v>
      </c>
      <c r="E191" s="33">
        <v>5399157</v>
      </c>
      <c r="F191" s="33">
        <v>6059603</v>
      </c>
      <c r="G191" s="33">
        <v>3417909</v>
      </c>
      <c r="H191" s="32">
        <v>9477512</v>
      </c>
      <c r="I191" s="33">
        <v>443882</v>
      </c>
      <c r="J191" s="33">
        <v>4211791</v>
      </c>
      <c r="K191" s="33">
        <v>168025</v>
      </c>
      <c r="L191" s="33">
        <v>2206329</v>
      </c>
      <c r="M191" s="33">
        <v>0</v>
      </c>
      <c r="N191" s="34">
        <v>7030027</v>
      </c>
      <c r="O191" s="33">
        <v>1704457</v>
      </c>
      <c r="P191" s="35">
        <v>45929</v>
      </c>
      <c r="Q191" s="33">
        <v>1704457</v>
      </c>
      <c r="R191" s="35">
        <v>46020</v>
      </c>
      <c r="S191" s="33">
        <v>1704457</v>
      </c>
      <c r="T191" s="35">
        <v>46112</v>
      </c>
      <c r="U191" s="33">
        <v>1916656</v>
      </c>
      <c r="V191" s="36">
        <v>46195</v>
      </c>
      <c r="W191" s="6">
        <v>0</v>
      </c>
      <c r="X191" s="40" t="s">
        <v>30</v>
      </c>
      <c r="Z191" s="38"/>
      <c r="AA191" s="39"/>
    </row>
    <row r="192" spans="1:27" x14ac:dyDescent="0.25">
      <c r="A192" s="3" t="s">
        <v>402</v>
      </c>
      <c r="B192" s="2" t="s">
        <v>403</v>
      </c>
      <c r="C192" s="3">
        <v>73</v>
      </c>
      <c r="D192" s="33">
        <v>12405755</v>
      </c>
      <c r="E192" s="33">
        <v>3800378</v>
      </c>
      <c r="F192" s="33">
        <v>6903782</v>
      </c>
      <c r="G192" s="33">
        <v>1701596</v>
      </c>
      <c r="H192" s="32">
        <v>8605378</v>
      </c>
      <c r="I192" s="33">
        <v>98242</v>
      </c>
      <c r="J192" s="33">
        <v>5104155</v>
      </c>
      <c r="K192" s="33">
        <v>26756</v>
      </c>
      <c r="L192" s="33">
        <v>1137040</v>
      </c>
      <c r="M192" s="33">
        <v>0</v>
      </c>
      <c r="N192" s="34">
        <v>6366193</v>
      </c>
      <c r="O192" s="33">
        <v>1564209</v>
      </c>
      <c r="P192" s="35">
        <v>45929</v>
      </c>
      <c r="Q192" s="33">
        <v>1564209</v>
      </c>
      <c r="R192" s="35">
        <v>46020</v>
      </c>
      <c r="S192" s="33">
        <v>1564209</v>
      </c>
      <c r="T192" s="35">
        <v>46112</v>
      </c>
      <c r="U192" s="33">
        <v>1673566</v>
      </c>
      <c r="V192" s="36">
        <v>46195</v>
      </c>
      <c r="W192" s="6">
        <v>0</v>
      </c>
      <c r="X192" s="40" t="s">
        <v>30</v>
      </c>
      <c r="Z192" s="38"/>
      <c r="AA192" s="39"/>
    </row>
    <row r="193" spans="1:27" x14ac:dyDescent="0.25">
      <c r="A193" s="3" t="s">
        <v>404</v>
      </c>
      <c r="B193" s="2" t="s">
        <v>405</v>
      </c>
      <c r="C193" s="3">
        <v>3</v>
      </c>
      <c r="D193" s="33">
        <v>246290</v>
      </c>
      <c r="E193" s="33">
        <v>157257</v>
      </c>
      <c r="F193" s="33">
        <v>79991</v>
      </c>
      <c r="G193" s="33">
        <v>9042</v>
      </c>
      <c r="H193" s="32">
        <v>89033</v>
      </c>
      <c r="I193" s="33">
        <v>0</v>
      </c>
      <c r="J193" s="33">
        <v>59993</v>
      </c>
      <c r="K193" s="33">
        <v>0</v>
      </c>
      <c r="L193" s="33">
        <v>6139</v>
      </c>
      <c r="M193" s="33">
        <v>0</v>
      </c>
      <c r="N193" s="34">
        <v>66132</v>
      </c>
      <c r="O193" s="33">
        <v>16385</v>
      </c>
      <c r="P193" s="35">
        <v>45929</v>
      </c>
      <c r="Q193" s="33">
        <v>16385</v>
      </c>
      <c r="R193" s="35">
        <v>46020</v>
      </c>
      <c r="S193" s="33">
        <v>16385</v>
      </c>
      <c r="T193" s="35">
        <v>46112</v>
      </c>
      <c r="U193" s="33">
        <v>16977</v>
      </c>
      <c r="V193" s="36">
        <v>46195</v>
      </c>
      <c r="W193" s="6">
        <v>0</v>
      </c>
      <c r="X193" s="40" t="s">
        <v>30</v>
      </c>
      <c r="Z193" s="38"/>
      <c r="AA193" s="39"/>
    </row>
    <row r="194" spans="1:27" x14ac:dyDescent="0.25">
      <c r="A194" s="3" t="s">
        <v>406</v>
      </c>
      <c r="B194" s="2" t="s">
        <v>407</v>
      </c>
      <c r="C194" s="3">
        <v>2</v>
      </c>
      <c r="D194" s="33">
        <v>481492</v>
      </c>
      <c r="E194" s="33">
        <v>104838</v>
      </c>
      <c r="F194" s="33">
        <v>338204</v>
      </c>
      <c r="G194" s="33">
        <v>38450</v>
      </c>
      <c r="H194" s="32">
        <v>376654</v>
      </c>
      <c r="I194" s="33">
        <v>0</v>
      </c>
      <c r="J194" s="33">
        <v>253653</v>
      </c>
      <c r="K194" s="33">
        <v>0</v>
      </c>
      <c r="L194" s="33">
        <v>26104</v>
      </c>
      <c r="M194" s="33">
        <v>0</v>
      </c>
      <c r="N194" s="34">
        <v>279757</v>
      </c>
      <c r="O194" s="33">
        <v>69312</v>
      </c>
      <c r="P194" s="35">
        <v>45929</v>
      </c>
      <c r="Q194" s="33">
        <v>69312</v>
      </c>
      <c r="R194" s="35">
        <v>46020</v>
      </c>
      <c r="S194" s="33">
        <v>69312</v>
      </c>
      <c r="T194" s="35">
        <v>46112</v>
      </c>
      <c r="U194" s="33">
        <v>71821</v>
      </c>
      <c r="V194" s="36">
        <v>46195</v>
      </c>
      <c r="W194" s="6">
        <v>0</v>
      </c>
      <c r="X194" s="40" t="s">
        <v>30</v>
      </c>
      <c r="Z194" s="38"/>
      <c r="AA194" s="39"/>
    </row>
    <row r="195" spans="1:27" x14ac:dyDescent="0.25">
      <c r="A195" s="3" t="s">
        <v>408</v>
      </c>
      <c r="B195" s="2" t="s">
        <v>409</v>
      </c>
      <c r="C195" s="3">
        <v>19</v>
      </c>
      <c r="D195" s="33">
        <v>2934495</v>
      </c>
      <c r="E195" s="33">
        <v>995961</v>
      </c>
      <c r="F195" s="33">
        <v>1562772</v>
      </c>
      <c r="G195" s="33">
        <v>375762</v>
      </c>
      <c r="H195" s="32">
        <v>1938534</v>
      </c>
      <c r="I195" s="33">
        <v>0</v>
      </c>
      <c r="J195" s="33">
        <v>1172079</v>
      </c>
      <c r="K195" s="33">
        <v>0</v>
      </c>
      <c r="L195" s="33">
        <v>255103</v>
      </c>
      <c r="M195" s="33">
        <v>0</v>
      </c>
      <c r="N195" s="34">
        <v>1427182</v>
      </c>
      <c r="O195" s="33">
        <v>350662</v>
      </c>
      <c r="P195" s="35">
        <v>45929</v>
      </c>
      <c r="Q195" s="33">
        <v>350662</v>
      </c>
      <c r="R195" s="35">
        <v>46020</v>
      </c>
      <c r="S195" s="33">
        <v>350662</v>
      </c>
      <c r="T195" s="35">
        <v>46112</v>
      </c>
      <c r="U195" s="33">
        <v>375196</v>
      </c>
      <c r="V195" s="36">
        <v>46195</v>
      </c>
      <c r="W195" s="6">
        <v>0</v>
      </c>
      <c r="X195" s="40" t="s">
        <v>30</v>
      </c>
      <c r="Z195" s="38"/>
      <c r="AA195" s="39"/>
    </row>
    <row r="196" spans="1:27" x14ac:dyDescent="0.25">
      <c r="A196" s="3" t="s">
        <v>410</v>
      </c>
      <c r="B196" s="2" t="s">
        <v>411</v>
      </c>
      <c r="C196" s="3">
        <v>24</v>
      </c>
      <c r="D196" s="33">
        <v>5018752</v>
      </c>
      <c r="E196" s="33">
        <v>1258056</v>
      </c>
      <c r="F196" s="33">
        <v>2443048</v>
      </c>
      <c r="G196" s="33">
        <v>1317648</v>
      </c>
      <c r="H196" s="32">
        <v>3760696</v>
      </c>
      <c r="I196" s="33">
        <v>0</v>
      </c>
      <c r="J196" s="33">
        <v>1832286</v>
      </c>
      <c r="K196" s="33">
        <v>0</v>
      </c>
      <c r="L196" s="33">
        <v>894544</v>
      </c>
      <c r="M196" s="33">
        <v>0</v>
      </c>
      <c r="N196" s="34">
        <v>2726830</v>
      </c>
      <c r="O196" s="33">
        <v>660199</v>
      </c>
      <c r="P196" s="35">
        <v>45929</v>
      </c>
      <c r="Q196" s="33">
        <v>660199</v>
      </c>
      <c r="R196" s="35">
        <v>46020</v>
      </c>
      <c r="S196" s="33">
        <v>660199</v>
      </c>
      <c r="T196" s="35">
        <v>46112</v>
      </c>
      <c r="U196" s="33">
        <v>746233</v>
      </c>
      <c r="V196" s="36">
        <v>46195</v>
      </c>
      <c r="W196" s="6">
        <v>0</v>
      </c>
      <c r="X196" s="40" t="s">
        <v>30</v>
      </c>
      <c r="Z196" s="38"/>
      <c r="AA196" s="39"/>
    </row>
    <row r="197" spans="1:27" x14ac:dyDescent="0.25">
      <c r="A197" s="3" t="s">
        <v>412</v>
      </c>
      <c r="B197" s="2" t="s">
        <v>413</v>
      </c>
      <c r="C197" s="3">
        <v>43</v>
      </c>
      <c r="D197" s="33">
        <v>5446079</v>
      </c>
      <c r="E197" s="33">
        <v>2254017</v>
      </c>
      <c r="F197" s="33">
        <v>2500560</v>
      </c>
      <c r="G197" s="33">
        <v>691502</v>
      </c>
      <c r="H197" s="32">
        <v>3192062</v>
      </c>
      <c r="I197" s="33">
        <v>29031</v>
      </c>
      <c r="J197" s="33">
        <v>1853647</v>
      </c>
      <c r="K197" s="33">
        <v>30593</v>
      </c>
      <c r="L197" s="33">
        <v>448688</v>
      </c>
      <c r="M197" s="33">
        <v>0</v>
      </c>
      <c r="N197" s="34">
        <v>2361959</v>
      </c>
      <c r="O197" s="33">
        <v>579701</v>
      </c>
      <c r="P197" s="35">
        <v>45929</v>
      </c>
      <c r="Q197" s="33">
        <v>579701</v>
      </c>
      <c r="R197" s="35">
        <v>46020</v>
      </c>
      <c r="S197" s="33">
        <v>579701</v>
      </c>
      <c r="T197" s="35">
        <v>46112</v>
      </c>
      <c r="U197" s="33">
        <v>622856</v>
      </c>
      <c r="V197" s="36">
        <v>46195</v>
      </c>
      <c r="W197" s="6">
        <v>0</v>
      </c>
      <c r="X197" s="40" t="s">
        <v>30</v>
      </c>
      <c r="Z197" s="38"/>
      <c r="AA197" s="39"/>
    </row>
    <row r="198" spans="1:27" x14ac:dyDescent="0.25">
      <c r="A198" s="3" t="s">
        <v>414</v>
      </c>
      <c r="B198" s="2" t="s">
        <v>415</v>
      </c>
      <c r="C198" s="3">
        <v>2</v>
      </c>
      <c r="D198" s="33">
        <v>248991</v>
      </c>
      <c r="E198" s="33">
        <v>78629</v>
      </c>
      <c r="F198" s="33">
        <v>76622</v>
      </c>
      <c r="G198" s="33">
        <v>93740</v>
      </c>
      <c r="H198" s="32">
        <v>170362</v>
      </c>
      <c r="I198" s="33">
        <v>0</v>
      </c>
      <c r="J198" s="33">
        <v>57467</v>
      </c>
      <c r="K198" s="33">
        <v>0</v>
      </c>
      <c r="L198" s="33">
        <v>63640</v>
      </c>
      <c r="M198" s="33">
        <v>0</v>
      </c>
      <c r="N198" s="34">
        <v>121107</v>
      </c>
      <c r="O198" s="33">
        <v>28747</v>
      </c>
      <c r="P198" s="35">
        <v>45929</v>
      </c>
      <c r="Q198" s="33">
        <v>28747</v>
      </c>
      <c r="R198" s="35">
        <v>46020</v>
      </c>
      <c r="S198" s="33">
        <v>28747</v>
      </c>
      <c r="T198" s="35">
        <v>46112</v>
      </c>
      <c r="U198" s="33">
        <v>34866</v>
      </c>
      <c r="V198" s="36">
        <v>46195</v>
      </c>
      <c r="W198" s="6">
        <v>0</v>
      </c>
      <c r="X198" s="40" t="s">
        <v>30</v>
      </c>
      <c r="Z198" s="38"/>
      <c r="AA198" s="39"/>
    </row>
    <row r="199" spans="1:27" x14ac:dyDescent="0.25">
      <c r="A199" s="3" t="s">
        <v>416</v>
      </c>
      <c r="B199" s="2" t="s">
        <v>417</v>
      </c>
      <c r="C199" s="3">
        <v>65</v>
      </c>
      <c r="D199" s="33">
        <v>8247112</v>
      </c>
      <c r="E199" s="33">
        <v>3407235</v>
      </c>
      <c r="F199" s="33">
        <v>4149211</v>
      </c>
      <c r="G199" s="33">
        <v>690667</v>
      </c>
      <c r="H199" s="32">
        <v>4839878</v>
      </c>
      <c r="I199" s="33">
        <v>0</v>
      </c>
      <c r="J199" s="33">
        <v>3111908</v>
      </c>
      <c r="K199" s="33">
        <v>0</v>
      </c>
      <c r="L199" s="33">
        <v>468890</v>
      </c>
      <c r="M199" s="33">
        <v>0</v>
      </c>
      <c r="N199" s="34">
        <v>3580798</v>
      </c>
      <c r="O199" s="33">
        <v>883925</v>
      </c>
      <c r="P199" s="35">
        <v>45929</v>
      </c>
      <c r="Q199" s="33">
        <v>883925</v>
      </c>
      <c r="R199" s="35">
        <v>46020</v>
      </c>
      <c r="S199" s="33">
        <v>883925</v>
      </c>
      <c r="T199" s="35">
        <v>46112</v>
      </c>
      <c r="U199" s="33">
        <v>929023</v>
      </c>
      <c r="V199" s="36">
        <v>46195</v>
      </c>
      <c r="W199" s="6">
        <v>0</v>
      </c>
      <c r="X199" s="40" t="s">
        <v>30</v>
      </c>
      <c r="Z199" s="38"/>
      <c r="AA199" s="39"/>
    </row>
    <row r="200" spans="1:27" x14ac:dyDescent="0.25">
      <c r="A200" s="3" t="s">
        <v>418</v>
      </c>
      <c r="B200" s="2" t="s">
        <v>419</v>
      </c>
      <c r="C200" s="3">
        <v>81</v>
      </c>
      <c r="D200" s="33">
        <v>10986274</v>
      </c>
      <c r="E200" s="33">
        <v>4114892</v>
      </c>
      <c r="F200" s="33">
        <v>5006103</v>
      </c>
      <c r="G200" s="33">
        <v>1865279</v>
      </c>
      <c r="H200" s="32">
        <v>6871382</v>
      </c>
      <c r="I200" s="33">
        <v>18128</v>
      </c>
      <c r="J200" s="33">
        <v>3740981</v>
      </c>
      <c r="K200" s="33">
        <v>0</v>
      </c>
      <c r="L200" s="33">
        <v>1266328</v>
      </c>
      <c r="M200" s="33">
        <v>0</v>
      </c>
      <c r="N200" s="34">
        <v>5025437</v>
      </c>
      <c r="O200" s="33">
        <v>1225911</v>
      </c>
      <c r="P200" s="35">
        <v>45929</v>
      </c>
      <c r="Q200" s="33">
        <v>1225911</v>
      </c>
      <c r="R200" s="35">
        <v>46020</v>
      </c>
      <c r="S200" s="33">
        <v>1225911</v>
      </c>
      <c r="T200" s="35">
        <v>46112</v>
      </c>
      <c r="U200" s="33">
        <v>1347704</v>
      </c>
      <c r="V200" s="36">
        <v>46195</v>
      </c>
      <c r="W200" s="6">
        <v>0</v>
      </c>
      <c r="X200" s="40" t="s">
        <v>30</v>
      </c>
      <c r="Z200" s="38"/>
      <c r="AA200" s="39"/>
    </row>
    <row r="201" spans="1:27" x14ac:dyDescent="0.25">
      <c r="A201" s="3" t="s">
        <v>420</v>
      </c>
      <c r="B201" s="2" t="s">
        <v>421</v>
      </c>
      <c r="C201" s="3">
        <v>17</v>
      </c>
      <c r="D201" s="33">
        <v>2696594</v>
      </c>
      <c r="E201" s="33">
        <v>838704</v>
      </c>
      <c r="F201" s="33">
        <v>1080620</v>
      </c>
      <c r="G201" s="33">
        <v>777271</v>
      </c>
      <c r="H201" s="32">
        <v>1857891</v>
      </c>
      <c r="I201" s="33">
        <v>232783</v>
      </c>
      <c r="J201" s="33">
        <v>635878</v>
      </c>
      <c r="K201" s="33">
        <v>0</v>
      </c>
      <c r="L201" s="33">
        <v>527685</v>
      </c>
      <c r="M201" s="33">
        <v>0</v>
      </c>
      <c r="N201" s="34">
        <v>1396346</v>
      </c>
      <c r="O201" s="33">
        <v>336399</v>
      </c>
      <c r="P201" s="35">
        <v>45929</v>
      </c>
      <c r="Q201" s="33">
        <v>336399</v>
      </c>
      <c r="R201" s="35">
        <v>46030</v>
      </c>
      <c r="S201" s="33">
        <v>336399</v>
      </c>
      <c r="T201" s="35">
        <v>46112</v>
      </c>
      <c r="U201" s="33">
        <v>387149</v>
      </c>
      <c r="V201" s="36">
        <v>46195</v>
      </c>
      <c r="W201" s="6">
        <v>0</v>
      </c>
      <c r="X201" s="40" t="s">
        <v>30</v>
      </c>
      <c r="Z201" s="38"/>
      <c r="AA201" s="39"/>
    </row>
    <row r="202" spans="1:27" x14ac:dyDescent="0.25">
      <c r="A202" s="3" t="s">
        <v>422</v>
      </c>
      <c r="B202" s="2" t="s">
        <v>423</v>
      </c>
      <c r="C202" s="3">
        <v>34</v>
      </c>
      <c r="D202" s="33">
        <v>4735241</v>
      </c>
      <c r="E202" s="33">
        <v>1782246</v>
      </c>
      <c r="F202" s="33">
        <v>1844182</v>
      </c>
      <c r="G202" s="33">
        <v>1108814</v>
      </c>
      <c r="H202" s="32">
        <v>2952996</v>
      </c>
      <c r="I202" s="33">
        <v>421810</v>
      </c>
      <c r="J202" s="33">
        <v>1066779</v>
      </c>
      <c r="K202" s="33">
        <v>24542</v>
      </c>
      <c r="L202" s="33">
        <v>736106</v>
      </c>
      <c r="M202" s="33">
        <v>0</v>
      </c>
      <c r="N202" s="34">
        <v>2249237</v>
      </c>
      <c r="O202" s="33">
        <v>544610</v>
      </c>
      <c r="P202" s="35">
        <v>45929</v>
      </c>
      <c r="Q202" s="33">
        <v>544610</v>
      </c>
      <c r="R202" s="35">
        <v>46030</v>
      </c>
      <c r="S202" s="33">
        <v>544610</v>
      </c>
      <c r="T202" s="35">
        <v>46112</v>
      </c>
      <c r="U202" s="33">
        <v>615407</v>
      </c>
      <c r="V202" s="36">
        <v>46195</v>
      </c>
      <c r="W202" s="6">
        <v>372517</v>
      </c>
      <c r="X202" s="40" t="s">
        <v>77</v>
      </c>
      <c r="Z202" s="38"/>
      <c r="AA202" s="39"/>
    </row>
    <row r="203" spans="1:27" x14ac:dyDescent="0.25">
      <c r="A203" s="3" t="s">
        <v>424</v>
      </c>
      <c r="B203" s="2" t="s">
        <v>425</v>
      </c>
      <c r="C203" s="3">
        <v>83</v>
      </c>
      <c r="D203" s="33">
        <v>10325525</v>
      </c>
      <c r="E203" s="33">
        <v>4245939</v>
      </c>
      <c r="F203" s="33">
        <v>5114325</v>
      </c>
      <c r="G203" s="33">
        <v>965261</v>
      </c>
      <c r="H203" s="32">
        <v>6079586</v>
      </c>
      <c r="I203" s="33">
        <v>0</v>
      </c>
      <c r="J203" s="33">
        <v>3835744</v>
      </c>
      <c r="K203" s="33">
        <v>0</v>
      </c>
      <c r="L203" s="33">
        <v>655311</v>
      </c>
      <c r="M203" s="33">
        <v>0</v>
      </c>
      <c r="N203" s="34">
        <v>4491055</v>
      </c>
      <c r="O203" s="33">
        <v>1107007</v>
      </c>
      <c r="P203" s="35">
        <v>45929</v>
      </c>
      <c r="Q203" s="33">
        <v>1107007</v>
      </c>
      <c r="R203" s="35">
        <v>46020</v>
      </c>
      <c r="S203" s="33">
        <v>1107007</v>
      </c>
      <c r="T203" s="35">
        <v>46112</v>
      </c>
      <c r="U203" s="33">
        <v>1170034</v>
      </c>
      <c r="V203" s="36">
        <v>46195</v>
      </c>
      <c r="W203" s="6">
        <v>0</v>
      </c>
      <c r="X203" s="40" t="s">
        <v>30</v>
      </c>
      <c r="Z203" s="38"/>
      <c r="AA203" s="39"/>
    </row>
    <row r="204" spans="1:27" x14ac:dyDescent="0.25">
      <c r="A204" s="3" t="s">
        <v>426</v>
      </c>
      <c r="B204" s="2" t="s">
        <v>427</v>
      </c>
      <c r="C204" s="3">
        <v>33</v>
      </c>
      <c r="D204" s="33">
        <v>4577751</v>
      </c>
      <c r="E204" s="33">
        <v>1729827</v>
      </c>
      <c r="F204" s="33">
        <v>1858506</v>
      </c>
      <c r="G204" s="33">
        <v>989418</v>
      </c>
      <c r="H204" s="32">
        <v>2847924</v>
      </c>
      <c r="I204" s="33">
        <v>0</v>
      </c>
      <c r="J204" s="33">
        <v>1393880</v>
      </c>
      <c r="K204" s="33">
        <v>0</v>
      </c>
      <c r="L204" s="33">
        <v>671711</v>
      </c>
      <c r="M204" s="33">
        <v>0</v>
      </c>
      <c r="N204" s="34">
        <v>2065591</v>
      </c>
      <c r="O204" s="33">
        <v>500247</v>
      </c>
      <c r="P204" s="35">
        <v>45929</v>
      </c>
      <c r="Q204" s="33">
        <v>500247</v>
      </c>
      <c r="R204" s="35">
        <v>46020</v>
      </c>
      <c r="S204" s="33">
        <v>500247</v>
      </c>
      <c r="T204" s="35">
        <v>46112</v>
      </c>
      <c r="U204" s="33">
        <v>564850</v>
      </c>
      <c r="V204" s="36">
        <v>46195</v>
      </c>
      <c r="W204" s="6">
        <v>230971</v>
      </c>
      <c r="X204" s="40" t="s">
        <v>77</v>
      </c>
      <c r="Z204" s="38"/>
      <c r="AA204" s="39"/>
    </row>
    <row r="205" spans="1:27" ht="31.5" x14ac:dyDescent="0.25">
      <c r="A205" s="3" t="s">
        <v>428</v>
      </c>
      <c r="B205" s="2" t="s">
        <v>429</v>
      </c>
      <c r="C205" s="3">
        <v>40</v>
      </c>
      <c r="D205" s="33">
        <v>4684705</v>
      </c>
      <c r="E205" s="33">
        <v>2070551</v>
      </c>
      <c r="F205" s="33">
        <v>1750630</v>
      </c>
      <c r="G205" s="33">
        <v>863524</v>
      </c>
      <c r="H205" s="32">
        <v>2614154</v>
      </c>
      <c r="I205" s="33">
        <v>0</v>
      </c>
      <c r="J205" s="33">
        <v>1312973</v>
      </c>
      <c r="K205" s="33">
        <v>0</v>
      </c>
      <c r="L205" s="33">
        <v>586242</v>
      </c>
      <c r="M205" s="33">
        <v>0</v>
      </c>
      <c r="N205" s="34">
        <v>1899215</v>
      </c>
      <c r="O205" s="33">
        <v>460708</v>
      </c>
      <c r="P205" s="35">
        <v>45929</v>
      </c>
      <c r="Q205" s="33">
        <v>460708</v>
      </c>
      <c r="R205" s="35">
        <v>46020</v>
      </c>
      <c r="S205" s="33">
        <v>460708</v>
      </c>
      <c r="T205" s="35">
        <v>46112</v>
      </c>
      <c r="U205" s="33">
        <v>517091</v>
      </c>
      <c r="V205" s="36">
        <v>46195</v>
      </c>
      <c r="W205" s="6">
        <v>333181</v>
      </c>
      <c r="X205" s="40" t="s">
        <v>430</v>
      </c>
      <c r="Z205" s="38"/>
      <c r="AA205" s="39"/>
    </row>
    <row r="206" spans="1:27" x14ac:dyDescent="0.25">
      <c r="A206" s="3" t="s">
        <v>431</v>
      </c>
      <c r="B206" s="2" t="s">
        <v>432</v>
      </c>
      <c r="C206" s="3">
        <v>51</v>
      </c>
      <c r="D206" s="33">
        <v>6760847</v>
      </c>
      <c r="E206" s="33">
        <v>2673369</v>
      </c>
      <c r="F206" s="33">
        <v>3024054</v>
      </c>
      <c r="G206" s="33">
        <v>1063424</v>
      </c>
      <c r="H206" s="32">
        <v>4087478</v>
      </c>
      <c r="I206" s="33">
        <v>0</v>
      </c>
      <c r="J206" s="33">
        <v>2268041</v>
      </c>
      <c r="K206" s="33">
        <v>0</v>
      </c>
      <c r="L206" s="33">
        <v>721953</v>
      </c>
      <c r="M206" s="33">
        <v>0</v>
      </c>
      <c r="N206" s="34">
        <v>2989994</v>
      </c>
      <c r="O206" s="33">
        <v>730140</v>
      </c>
      <c r="P206" s="35">
        <v>45929</v>
      </c>
      <c r="Q206" s="33">
        <v>730140</v>
      </c>
      <c r="R206" s="35">
        <v>46020</v>
      </c>
      <c r="S206" s="33">
        <v>730140</v>
      </c>
      <c r="T206" s="35">
        <v>46112</v>
      </c>
      <c r="U206" s="33">
        <v>799574</v>
      </c>
      <c r="V206" s="36">
        <v>46195</v>
      </c>
      <c r="W206" s="6">
        <v>0</v>
      </c>
      <c r="X206" s="40" t="s">
        <v>30</v>
      </c>
      <c r="Z206" s="38"/>
      <c r="AA206" s="39"/>
    </row>
    <row r="207" spans="1:27" x14ac:dyDescent="0.25">
      <c r="A207" s="3" t="s">
        <v>433</v>
      </c>
      <c r="B207" s="2" t="s">
        <v>434</v>
      </c>
      <c r="C207" s="3">
        <v>40</v>
      </c>
      <c r="D207" s="33">
        <v>5273134</v>
      </c>
      <c r="E207" s="33">
        <v>1991922</v>
      </c>
      <c r="F207" s="33">
        <v>2249633</v>
      </c>
      <c r="G207" s="33">
        <v>1031579</v>
      </c>
      <c r="H207" s="32">
        <v>3281212</v>
      </c>
      <c r="I207" s="33">
        <v>81158</v>
      </c>
      <c r="J207" s="33">
        <v>1626356</v>
      </c>
      <c r="K207" s="33">
        <v>1617</v>
      </c>
      <c r="L207" s="33">
        <v>699236</v>
      </c>
      <c r="M207" s="33">
        <v>0</v>
      </c>
      <c r="N207" s="34">
        <v>2408367</v>
      </c>
      <c r="O207" s="33">
        <v>573519</v>
      </c>
      <c r="P207" s="35">
        <v>45929</v>
      </c>
      <c r="Q207" s="33">
        <v>573519</v>
      </c>
      <c r="R207" s="35">
        <v>46020</v>
      </c>
      <c r="S207" s="33">
        <v>573519</v>
      </c>
      <c r="T207" s="35">
        <v>46112</v>
      </c>
      <c r="U207" s="33">
        <v>687810</v>
      </c>
      <c r="V207" s="36">
        <v>46195</v>
      </c>
      <c r="W207" s="6">
        <v>0</v>
      </c>
      <c r="X207" s="40" t="s">
        <v>30</v>
      </c>
      <c r="Z207" s="38"/>
      <c r="AA207" s="39"/>
    </row>
    <row r="208" spans="1:27" x14ac:dyDescent="0.25">
      <c r="A208" s="3" t="s">
        <v>435</v>
      </c>
      <c r="B208" s="2" t="s">
        <v>436</v>
      </c>
      <c r="C208" s="3">
        <v>8</v>
      </c>
      <c r="D208" s="33">
        <v>1724044</v>
      </c>
      <c r="E208" s="33">
        <v>393143</v>
      </c>
      <c r="F208" s="33">
        <v>1059483</v>
      </c>
      <c r="G208" s="33">
        <v>271418</v>
      </c>
      <c r="H208" s="32">
        <v>1330901</v>
      </c>
      <c r="I208" s="33">
        <v>49880</v>
      </c>
      <c r="J208" s="33">
        <v>757202</v>
      </c>
      <c r="K208" s="33">
        <v>0</v>
      </c>
      <c r="L208" s="33">
        <v>184264</v>
      </c>
      <c r="M208" s="33">
        <v>0</v>
      </c>
      <c r="N208" s="34">
        <v>991346</v>
      </c>
      <c r="O208" s="33">
        <v>243406</v>
      </c>
      <c r="P208" s="35">
        <v>45929</v>
      </c>
      <c r="Q208" s="33">
        <v>243406</v>
      </c>
      <c r="R208" s="35">
        <v>46020</v>
      </c>
      <c r="S208" s="33">
        <v>243406</v>
      </c>
      <c r="T208" s="35">
        <v>46112</v>
      </c>
      <c r="U208" s="33">
        <v>261128</v>
      </c>
      <c r="V208" s="36">
        <v>46195</v>
      </c>
      <c r="W208" s="6">
        <v>0</v>
      </c>
      <c r="X208" s="40" t="s">
        <v>30</v>
      </c>
      <c r="Z208" s="38"/>
      <c r="AA208" s="39"/>
    </row>
    <row r="209" spans="1:27" x14ac:dyDescent="0.25">
      <c r="A209" s="3" t="s">
        <v>437</v>
      </c>
      <c r="B209" s="2" t="s">
        <v>438</v>
      </c>
      <c r="C209" s="3">
        <v>16</v>
      </c>
      <c r="D209" s="33">
        <v>2203700</v>
      </c>
      <c r="E209" s="33">
        <v>838704</v>
      </c>
      <c r="F209" s="33">
        <v>946151</v>
      </c>
      <c r="G209" s="33">
        <v>418846</v>
      </c>
      <c r="H209" s="32">
        <v>1364997</v>
      </c>
      <c r="I209" s="33">
        <v>0</v>
      </c>
      <c r="J209" s="33">
        <v>709613</v>
      </c>
      <c r="K209" s="33">
        <v>0</v>
      </c>
      <c r="L209" s="33">
        <v>284352</v>
      </c>
      <c r="M209" s="33">
        <v>0</v>
      </c>
      <c r="N209" s="34">
        <v>993965</v>
      </c>
      <c r="O209" s="33">
        <v>241654</v>
      </c>
      <c r="P209" s="35">
        <v>45929</v>
      </c>
      <c r="Q209" s="33">
        <v>241654</v>
      </c>
      <c r="R209" s="35">
        <v>46020</v>
      </c>
      <c r="S209" s="33">
        <v>241654</v>
      </c>
      <c r="T209" s="35">
        <v>46112</v>
      </c>
      <c r="U209" s="33">
        <v>269003</v>
      </c>
      <c r="V209" s="36">
        <v>46195</v>
      </c>
      <c r="W209" s="6">
        <v>164184</v>
      </c>
      <c r="X209" s="40" t="s">
        <v>77</v>
      </c>
      <c r="Z209" s="38"/>
      <c r="AA209" s="39"/>
    </row>
    <row r="210" spans="1:27" x14ac:dyDescent="0.25">
      <c r="A210" s="3" t="s">
        <v>439</v>
      </c>
      <c r="B210" s="2" t="s">
        <v>440</v>
      </c>
      <c r="C210" s="3">
        <v>71</v>
      </c>
      <c r="D210" s="33">
        <v>8317831</v>
      </c>
      <c r="E210" s="33">
        <v>3695540</v>
      </c>
      <c r="F210" s="33">
        <v>3362928</v>
      </c>
      <c r="G210" s="33">
        <v>1259363</v>
      </c>
      <c r="H210" s="32">
        <v>4622291</v>
      </c>
      <c r="I210" s="33">
        <v>0</v>
      </c>
      <c r="J210" s="33">
        <f>2522199</f>
        <v>2522199</v>
      </c>
      <c r="K210" s="33">
        <v>0</v>
      </c>
      <c r="L210" s="33">
        <v>854975</v>
      </c>
      <c r="M210" s="33">
        <v>0</v>
      </c>
      <c r="N210" s="34">
        <v>3377174</v>
      </c>
      <c r="O210" s="33">
        <v>1170818</v>
      </c>
      <c r="P210" s="35">
        <v>45929</v>
      </c>
      <c r="Q210" s="33">
        <v>1170818</v>
      </c>
      <c r="R210" s="35">
        <v>46020</v>
      </c>
      <c r="S210" s="33">
        <v>476653</v>
      </c>
      <c r="T210" s="35">
        <v>46112</v>
      </c>
      <c r="U210" s="33">
        <v>558885</v>
      </c>
      <c r="V210" s="36">
        <v>46195</v>
      </c>
      <c r="W210" s="6">
        <v>576923</v>
      </c>
      <c r="X210" s="40" t="s">
        <v>77</v>
      </c>
      <c r="Z210" s="38"/>
      <c r="AA210" s="39"/>
    </row>
    <row r="211" spans="1:27" x14ac:dyDescent="0.25">
      <c r="A211" s="3" t="s">
        <v>441</v>
      </c>
      <c r="B211" s="2" t="s">
        <v>442</v>
      </c>
      <c r="C211" s="3">
        <v>60</v>
      </c>
      <c r="D211" s="33">
        <v>8483372</v>
      </c>
      <c r="E211" s="33">
        <v>3092721</v>
      </c>
      <c r="F211" s="33">
        <v>4197528</v>
      </c>
      <c r="G211" s="33">
        <v>1193122</v>
      </c>
      <c r="H211" s="32">
        <v>5390650</v>
      </c>
      <c r="I211" s="33">
        <v>27065</v>
      </c>
      <c r="J211" s="33">
        <v>3127847</v>
      </c>
      <c r="K211" s="33">
        <v>0</v>
      </c>
      <c r="L211" s="33">
        <v>810004</v>
      </c>
      <c r="M211" s="33">
        <v>0</v>
      </c>
      <c r="N211" s="34">
        <v>3964916</v>
      </c>
      <c r="O211" s="33">
        <v>1006184</v>
      </c>
      <c r="P211" s="35">
        <v>45929</v>
      </c>
      <c r="Q211" s="33">
        <v>1006184</v>
      </c>
      <c r="R211" s="35">
        <v>46020</v>
      </c>
      <c r="S211" s="33">
        <v>937323</v>
      </c>
      <c r="T211" s="35">
        <v>46112</v>
      </c>
      <c r="U211" s="33">
        <v>1015225</v>
      </c>
      <c r="V211" s="36">
        <v>46195</v>
      </c>
      <c r="W211" s="6">
        <v>0</v>
      </c>
      <c r="X211" s="40" t="s">
        <v>30</v>
      </c>
      <c r="Z211" s="38"/>
      <c r="AA211" s="39"/>
    </row>
    <row r="212" spans="1:27" x14ac:dyDescent="0.25">
      <c r="A212" s="3" t="s">
        <v>443</v>
      </c>
      <c r="B212" s="2" t="s">
        <v>444</v>
      </c>
      <c r="C212" s="3">
        <v>1</v>
      </c>
      <c r="D212" s="33">
        <v>186382</v>
      </c>
      <c r="E212" s="33">
        <v>52419</v>
      </c>
      <c r="F212" s="33">
        <v>111967</v>
      </c>
      <c r="G212" s="33">
        <v>21996</v>
      </c>
      <c r="H212" s="32">
        <v>133963</v>
      </c>
      <c r="I212" s="33">
        <v>0</v>
      </c>
      <c r="J212" s="33">
        <v>83975</v>
      </c>
      <c r="K212" s="33">
        <v>0</v>
      </c>
      <c r="L212" s="33">
        <v>14933</v>
      </c>
      <c r="M212" s="33">
        <v>0</v>
      </c>
      <c r="N212" s="34">
        <v>98908</v>
      </c>
      <c r="O212" s="33">
        <v>24368</v>
      </c>
      <c r="P212" s="35">
        <v>45929</v>
      </c>
      <c r="Q212" s="33">
        <v>24368</v>
      </c>
      <c r="R212" s="35">
        <v>46030</v>
      </c>
      <c r="S212" s="33">
        <v>24368</v>
      </c>
      <c r="T212" s="35">
        <v>46112</v>
      </c>
      <c r="U212" s="33">
        <v>25804</v>
      </c>
      <c r="V212" s="36">
        <v>46195</v>
      </c>
      <c r="W212" s="6">
        <v>0</v>
      </c>
      <c r="X212" s="40" t="s">
        <v>30</v>
      </c>
      <c r="Z212" s="38"/>
      <c r="AA212" s="39"/>
    </row>
    <row r="213" spans="1:27" x14ac:dyDescent="0.25">
      <c r="A213" s="3" t="s">
        <v>445</v>
      </c>
      <c r="B213" s="2" t="s">
        <v>446</v>
      </c>
      <c r="C213" s="3">
        <v>24</v>
      </c>
      <c r="D213" s="33">
        <v>3686217</v>
      </c>
      <c r="E213" s="33">
        <v>1231847</v>
      </c>
      <c r="F213" s="33">
        <v>1883511</v>
      </c>
      <c r="G213" s="33">
        <v>570859</v>
      </c>
      <c r="H213" s="32">
        <v>2454370</v>
      </c>
      <c r="I213" s="33">
        <v>0</v>
      </c>
      <c r="J213" s="33">
        <v>1412633</v>
      </c>
      <c r="K213" s="33">
        <v>0</v>
      </c>
      <c r="L213" s="33">
        <v>387553</v>
      </c>
      <c r="M213" s="33">
        <v>0</v>
      </c>
      <c r="N213" s="34">
        <v>1800186</v>
      </c>
      <c r="O213" s="33">
        <v>440728</v>
      </c>
      <c r="P213" s="35">
        <v>45929</v>
      </c>
      <c r="Q213" s="33">
        <v>440728</v>
      </c>
      <c r="R213" s="35">
        <v>46030</v>
      </c>
      <c r="S213" s="33">
        <v>440728</v>
      </c>
      <c r="T213" s="35">
        <v>46112</v>
      </c>
      <c r="U213" s="33">
        <v>478002</v>
      </c>
      <c r="V213" s="36">
        <v>46195</v>
      </c>
      <c r="W213" s="6">
        <v>0</v>
      </c>
      <c r="X213" s="40" t="s">
        <v>30</v>
      </c>
      <c r="Z213" s="38"/>
      <c r="AA213" s="39"/>
    </row>
    <row r="214" spans="1:27" x14ac:dyDescent="0.25">
      <c r="A214" s="3" t="s">
        <v>447</v>
      </c>
      <c r="B214" s="2" t="s">
        <v>448</v>
      </c>
      <c r="C214" s="3">
        <v>10</v>
      </c>
      <c r="D214" s="33">
        <v>1888158</v>
      </c>
      <c r="E214" s="33">
        <v>524190</v>
      </c>
      <c r="F214" s="33">
        <v>935472</v>
      </c>
      <c r="G214" s="33">
        <v>428497</v>
      </c>
      <c r="H214" s="32">
        <v>1363969</v>
      </c>
      <c r="I214" s="33">
        <v>0</v>
      </c>
      <c r="J214" s="33">
        <v>701604</v>
      </c>
      <c r="K214" s="33">
        <v>0</v>
      </c>
      <c r="L214" s="33">
        <v>290904</v>
      </c>
      <c r="M214" s="33">
        <v>0</v>
      </c>
      <c r="N214" s="34">
        <v>992508</v>
      </c>
      <c r="O214" s="33">
        <v>241132</v>
      </c>
      <c r="P214" s="35">
        <v>45929</v>
      </c>
      <c r="Q214" s="33">
        <v>241132</v>
      </c>
      <c r="R214" s="35">
        <v>46020</v>
      </c>
      <c r="S214" s="33">
        <v>241132</v>
      </c>
      <c r="T214" s="35">
        <v>46112</v>
      </c>
      <c r="U214" s="33">
        <v>269112</v>
      </c>
      <c r="V214" s="36">
        <v>46195</v>
      </c>
      <c r="W214" s="6">
        <v>0</v>
      </c>
      <c r="X214" s="40" t="s">
        <v>30</v>
      </c>
      <c r="Z214" s="38"/>
      <c r="AA214" s="39"/>
    </row>
    <row r="215" spans="1:27" x14ac:dyDescent="0.25">
      <c r="A215" s="3" t="s">
        <v>449</v>
      </c>
      <c r="B215" s="2" t="s">
        <v>450</v>
      </c>
      <c r="C215" s="3">
        <v>33</v>
      </c>
      <c r="D215" s="33">
        <v>5427610</v>
      </c>
      <c r="E215" s="33">
        <v>1703618</v>
      </c>
      <c r="F215" s="33">
        <v>3188588</v>
      </c>
      <c r="G215" s="33">
        <v>535404</v>
      </c>
      <c r="H215" s="32">
        <v>3723992</v>
      </c>
      <c r="I215" s="33">
        <v>30752</v>
      </c>
      <c r="J215" s="33">
        <v>2368377</v>
      </c>
      <c r="K215" s="33">
        <v>23706</v>
      </c>
      <c r="L215" s="33">
        <v>347389</v>
      </c>
      <c r="M215" s="33">
        <v>0</v>
      </c>
      <c r="N215" s="34">
        <v>2770224</v>
      </c>
      <c r="O215" s="33">
        <v>684203</v>
      </c>
      <c r="P215" s="35">
        <v>45929</v>
      </c>
      <c r="Q215" s="33">
        <v>684203</v>
      </c>
      <c r="R215" s="35">
        <v>46020</v>
      </c>
      <c r="S215" s="33">
        <v>684203</v>
      </c>
      <c r="T215" s="35">
        <v>46112</v>
      </c>
      <c r="U215" s="33">
        <v>717615</v>
      </c>
      <c r="V215" s="36">
        <v>46195</v>
      </c>
      <c r="W215" s="6">
        <v>0</v>
      </c>
      <c r="X215" s="40" t="s">
        <v>30</v>
      </c>
      <c r="Z215" s="38"/>
      <c r="AA215" s="39"/>
    </row>
    <row r="216" spans="1:27" x14ac:dyDescent="0.25">
      <c r="A216" s="3" t="s">
        <v>451</v>
      </c>
      <c r="B216" s="2" t="s">
        <v>452</v>
      </c>
      <c r="C216" s="3">
        <v>30</v>
      </c>
      <c r="D216" s="33">
        <v>3119093</v>
      </c>
      <c r="E216" s="33">
        <v>1572570</v>
      </c>
      <c r="F216" s="33">
        <v>977354</v>
      </c>
      <c r="G216" s="33">
        <v>569168</v>
      </c>
      <c r="H216" s="32">
        <v>1546522</v>
      </c>
      <c r="I216" s="33">
        <v>0</v>
      </c>
      <c r="J216" s="33">
        <v>733016</v>
      </c>
      <c r="K216" s="33">
        <v>0</v>
      </c>
      <c r="L216" s="33">
        <v>386405</v>
      </c>
      <c r="M216" s="33">
        <v>0</v>
      </c>
      <c r="N216" s="34">
        <v>1119421</v>
      </c>
      <c r="O216" s="33">
        <v>270565</v>
      </c>
      <c r="P216" s="35">
        <v>45929</v>
      </c>
      <c r="Q216" s="33">
        <v>270565</v>
      </c>
      <c r="R216" s="35">
        <v>46020</v>
      </c>
      <c r="S216" s="33">
        <v>270565</v>
      </c>
      <c r="T216" s="35">
        <v>46112</v>
      </c>
      <c r="U216" s="33">
        <v>307726</v>
      </c>
      <c r="V216" s="36">
        <v>46195</v>
      </c>
      <c r="W216" s="6">
        <v>434857</v>
      </c>
      <c r="X216" s="40" t="s">
        <v>77</v>
      </c>
      <c r="Z216" s="38"/>
      <c r="AA216" s="39"/>
    </row>
    <row r="217" spans="1:27" x14ac:dyDescent="0.25">
      <c r="A217" s="3" t="s">
        <v>453</v>
      </c>
      <c r="B217" s="2" t="s">
        <v>454</v>
      </c>
      <c r="C217" s="3">
        <v>85</v>
      </c>
      <c r="D217" s="33">
        <v>13044738</v>
      </c>
      <c r="E217" s="33">
        <v>4272149</v>
      </c>
      <c r="F217" s="33">
        <v>6599484</v>
      </c>
      <c r="G217" s="33">
        <v>2173105</v>
      </c>
      <c r="H217" s="32">
        <v>8772589</v>
      </c>
      <c r="I217" s="33">
        <v>466223</v>
      </c>
      <c r="J217" s="33">
        <v>4599946</v>
      </c>
      <c r="K217" s="33">
        <v>237295</v>
      </c>
      <c r="L217" s="33">
        <v>1314211</v>
      </c>
      <c r="M217" s="33">
        <v>0</v>
      </c>
      <c r="N217" s="34">
        <v>6617675</v>
      </c>
      <c r="O217" s="33">
        <v>1622819</v>
      </c>
      <c r="P217" s="35">
        <v>45929</v>
      </c>
      <c r="Q217" s="33">
        <v>1622819</v>
      </c>
      <c r="R217" s="35">
        <v>46020</v>
      </c>
      <c r="S217" s="33">
        <v>1622819</v>
      </c>
      <c r="T217" s="35">
        <v>46112</v>
      </c>
      <c r="U217" s="33">
        <v>1749218</v>
      </c>
      <c r="V217" s="36">
        <v>46195</v>
      </c>
      <c r="W217" s="6">
        <v>0</v>
      </c>
      <c r="X217" s="40" t="s">
        <v>30</v>
      </c>
      <c r="Z217" s="38"/>
      <c r="AA217" s="39"/>
    </row>
    <row r="218" spans="1:27" x14ac:dyDescent="0.25">
      <c r="A218" s="3" t="s">
        <v>455</v>
      </c>
      <c r="B218" s="41" t="s">
        <v>456</v>
      </c>
      <c r="C218" s="33">
        <v>0</v>
      </c>
      <c r="D218" s="33">
        <v>0</v>
      </c>
      <c r="E218" s="33">
        <v>0</v>
      </c>
      <c r="F218" s="33">
        <v>0</v>
      </c>
      <c r="G218" s="33">
        <v>0</v>
      </c>
      <c r="H218" s="32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4">
        <v>0</v>
      </c>
      <c r="O218" s="33">
        <v>0</v>
      </c>
      <c r="P218" s="36" t="s">
        <v>30</v>
      </c>
      <c r="Q218" s="33">
        <v>0</v>
      </c>
      <c r="R218" s="36" t="s">
        <v>30</v>
      </c>
      <c r="S218" s="33">
        <v>0</v>
      </c>
      <c r="T218" s="36" t="s">
        <v>30</v>
      </c>
      <c r="U218" s="33">
        <v>0</v>
      </c>
      <c r="V218" s="36">
        <v>46195</v>
      </c>
      <c r="W218" s="6">
        <v>28474</v>
      </c>
      <c r="X218" s="40" t="s">
        <v>77</v>
      </c>
      <c r="Z218" s="38"/>
      <c r="AA218" s="39"/>
    </row>
    <row r="219" spans="1:27" x14ac:dyDescent="0.25">
      <c r="A219" s="3" t="s">
        <v>457</v>
      </c>
      <c r="B219" s="2" t="s">
        <v>458</v>
      </c>
      <c r="C219" s="3">
        <v>53</v>
      </c>
      <c r="D219" s="33">
        <v>7623818</v>
      </c>
      <c r="E219" s="33">
        <v>2725788</v>
      </c>
      <c r="F219" s="33">
        <v>3777278</v>
      </c>
      <c r="G219" s="33">
        <v>1120752</v>
      </c>
      <c r="H219" s="32">
        <v>4898030</v>
      </c>
      <c r="I219" s="33">
        <v>0</v>
      </c>
      <c r="J219" s="33">
        <v>2832959</v>
      </c>
      <c r="K219" s="33">
        <v>0</v>
      </c>
      <c r="L219" s="33">
        <v>760873</v>
      </c>
      <c r="M219" s="33">
        <v>0</v>
      </c>
      <c r="N219" s="34">
        <v>3593832</v>
      </c>
      <c r="O219" s="33">
        <v>880163</v>
      </c>
      <c r="P219" s="35">
        <v>45929</v>
      </c>
      <c r="Q219" s="33">
        <v>880163</v>
      </c>
      <c r="R219" s="35">
        <v>46020</v>
      </c>
      <c r="S219" s="33">
        <v>880163</v>
      </c>
      <c r="T219" s="35">
        <v>46112</v>
      </c>
      <c r="U219" s="33">
        <v>953343</v>
      </c>
      <c r="V219" s="36">
        <v>46195</v>
      </c>
      <c r="W219" s="6">
        <v>0</v>
      </c>
      <c r="X219" s="40" t="s">
        <v>30</v>
      </c>
      <c r="Z219" s="38"/>
      <c r="AA219" s="39"/>
    </row>
    <row r="220" spans="1:27" x14ac:dyDescent="0.25">
      <c r="A220" s="3" t="s">
        <v>459</v>
      </c>
      <c r="B220" s="2" t="s">
        <v>460</v>
      </c>
      <c r="C220" s="3">
        <v>23</v>
      </c>
      <c r="D220" s="33">
        <v>2274965</v>
      </c>
      <c r="E220" s="33">
        <v>1179428</v>
      </c>
      <c r="F220" s="33">
        <v>554971</v>
      </c>
      <c r="G220" s="33">
        <v>540567</v>
      </c>
      <c r="H220" s="32">
        <v>1095538</v>
      </c>
      <c r="I220" s="33">
        <v>0</v>
      </c>
      <c r="J220" s="33">
        <v>416228</v>
      </c>
      <c r="K220" s="33">
        <v>0</v>
      </c>
      <c r="L220" s="33">
        <v>366988</v>
      </c>
      <c r="M220" s="33">
        <v>0</v>
      </c>
      <c r="N220" s="34">
        <v>783216</v>
      </c>
      <c r="O220" s="33">
        <v>186980</v>
      </c>
      <c r="P220" s="35">
        <v>45929</v>
      </c>
      <c r="Q220" s="33">
        <v>186980</v>
      </c>
      <c r="R220" s="35">
        <v>46020</v>
      </c>
      <c r="S220" s="33">
        <v>186980</v>
      </c>
      <c r="T220" s="35">
        <v>46112</v>
      </c>
      <c r="U220" s="33">
        <v>222276</v>
      </c>
      <c r="V220" s="36">
        <v>46195</v>
      </c>
      <c r="W220" s="6">
        <v>162252</v>
      </c>
      <c r="X220" s="40" t="s">
        <v>77</v>
      </c>
      <c r="Z220" s="38"/>
      <c r="AA220" s="39"/>
    </row>
    <row r="221" spans="1:27" x14ac:dyDescent="0.25">
      <c r="A221" s="3" t="s">
        <v>461</v>
      </c>
      <c r="B221" s="2" t="s">
        <v>462</v>
      </c>
      <c r="C221" s="3">
        <v>47</v>
      </c>
      <c r="D221" s="33">
        <v>6294729</v>
      </c>
      <c r="E221" s="33">
        <v>2411274</v>
      </c>
      <c r="F221" s="33">
        <v>2773784</v>
      </c>
      <c r="G221" s="33">
        <v>1109671</v>
      </c>
      <c r="H221" s="32">
        <v>3883455</v>
      </c>
      <c r="I221" s="33">
        <v>0</v>
      </c>
      <c r="J221" s="33">
        <v>2080338</v>
      </c>
      <c r="K221" s="33">
        <v>0</v>
      </c>
      <c r="L221" s="33">
        <v>753350</v>
      </c>
      <c r="M221" s="33">
        <v>0</v>
      </c>
      <c r="N221" s="34">
        <v>2833688</v>
      </c>
      <c r="O221" s="33">
        <v>690308</v>
      </c>
      <c r="P221" s="35">
        <v>45929</v>
      </c>
      <c r="Q221" s="33">
        <v>690308</v>
      </c>
      <c r="R221" s="35">
        <v>46020</v>
      </c>
      <c r="S221" s="33">
        <v>690308</v>
      </c>
      <c r="T221" s="35">
        <v>46112</v>
      </c>
      <c r="U221" s="33">
        <v>762764</v>
      </c>
      <c r="V221" s="36">
        <v>46195</v>
      </c>
      <c r="W221" s="6">
        <v>0</v>
      </c>
      <c r="X221" s="40" t="s">
        <v>30</v>
      </c>
      <c r="Z221" s="38"/>
      <c r="AA221" s="39"/>
    </row>
    <row r="222" spans="1:27" x14ac:dyDescent="0.25">
      <c r="A222" s="3" t="s">
        <v>463</v>
      </c>
      <c r="B222" s="2" t="s">
        <v>464</v>
      </c>
      <c r="C222" s="3">
        <v>17</v>
      </c>
      <c r="D222" s="33">
        <v>2247487</v>
      </c>
      <c r="E222" s="33">
        <v>891123</v>
      </c>
      <c r="F222" s="33">
        <v>851273</v>
      </c>
      <c r="G222" s="33">
        <v>505091</v>
      </c>
      <c r="H222" s="32">
        <v>1356364</v>
      </c>
      <c r="I222" s="33">
        <v>0</v>
      </c>
      <c r="J222" s="33">
        <v>638455</v>
      </c>
      <c r="K222" s="33">
        <v>0</v>
      </c>
      <c r="L222" s="33">
        <v>342904</v>
      </c>
      <c r="M222" s="33">
        <v>0</v>
      </c>
      <c r="N222" s="34">
        <v>981359</v>
      </c>
      <c r="O222" s="33">
        <v>237095</v>
      </c>
      <c r="P222" s="35">
        <v>45929</v>
      </c>
      <c r="Q222" s="33">
        <v>237095</v>
      </c>
      <c r="R222" s="35">
        <v>46020</v>
      </c>
      <c r="S222" s="33">
        <v>237095</v>
      </c>
      <c r="T222" s="35">
        <v>46112</v>
      </c>
      <c r="U222" s="33">
        <v>270074</v>
      </c>
      <c r="V222" s="36">
        <v>46195</v>
      </c>
      <c r="W222" s="6">
        <v>0</v>
      </c>
      <c r="X222" s="40" t="s">
        <v>30</v>
      </c>
      <c r="Z222" s="38"/>
      <c r="AA222" s="39"/>
    </row>
    <row r="223" spans="1:27" x14ac:dyDescent="0.25">
      <c r="A223" s="3" t="s">
        <v>465</v>
      </c>
      <c r="B223" s="2" t="s">
        <v>466</v>
      </c>
      <c r="C223" s="3">
        <v>87</v>
      </c>
      <c r="D223" s="33">
        <v>11744007</v>
      </c>
      <c r="E223" s="33">
        <v>4455615</v>
      </c>
      <c r="F223" s="33">
        <v>5257227</v>
      </c>
      <c r="G223" s="33">
        <v>2031165</v>
      </c>
      <c r="H223" s="32">
        <v>7288392</v>
      </c>
      <c r="I223" s="33">
        <v>0</v>
      </c>
      <c r="J223" s="33">
        <v>3942920</v>
      </c>
      <c r="K223" s="33">
        <v>0</v>
      </c>
      <c r="L223" s="33">
        <v>1378947</v>
      </c>
      <c r="M223" s="33">
        <v>0</v>
      </c>
      <c r="N223" s="34">
        <v>5321867</v>
      </c>
      <c r="O223" s="33">
        <v>1297311</v>
      </c>
      <c r="P223" s="35">
        <v>45929</v>
      </c>
      <c r="Q223" s="33">
        <v>1297311</v>
      </c>
      <c r="R223" s="35">
        <v>46020</v>
      </c>
      <c r="S223" s="33">
        <v>1297311</v>
      </c>
      <c r="T223" s="35">
        <v>46112</v>
      </c>
      <c r="U223" s="33">
        <v>1429934</v>
      </c>
      <c r="V223" s="36">
        <v>46195</v>
      </c>
      <c r="W223" s="6">
        <v>0</v>
      </c>
      <c r="X223" s="40" t="s">
        <v>30</v>
      </c>
      <c r="Z223" s="38"/>
      <c r="AA223" s="39"/>
    </row>
    <row r="224" spans="1:27" x14ac:dyDescent="0.25">
      <c r="A224" s="3" t="s">
        <v>467</v>
      </c>
      <c r="B224" s="2" t="s">
        <v>468</v>
      </c>
      <c r="C224" s="3">
        <v>173</v>
      </c>
      <c r="D224" s="33">
        <v>18156023</v>
      </c>
      <c r="E224" s="33">
        <v>8963649</v>
      </c>
      <c r="F224" s="33">
        <v>7397550</v>
      </c>
      <c r="G224" s="33">
        <v>1794824</v>
      </c>
      <c r="H224" s="32">
        <v>9192374</v>
      </c>
      <c r="I224" s="33">
        <v>1339692</v>
      </c>
      <c r="J224" s="33">
        <v>4543394</v>
      </c>
      <c r="K224" s="33">
        <v>299722</v>
      </c>
      <c r="L224" s="33">
        <v>1015017</v>
      </c>
      <c r="M224" s="33">
        <v>0</v>
      </c>
      <c r="N224" s="34">
        <v>7197825</v>
      </c>
      <c r="O224" s="33">
        <v>1775050</v>
      </c>
      <c r="P224" s="35">
        <v>45929</v>
      </c>
      <c r="Q224" s="33">
        <v>1775050</v>
      </c>
      <c r="R224" s="35">
        <v>46020</v>
      </c>
      <c r="S224" s="33">
        <v>1775050</v>
      </c>
      <c r="T224" s="35">
        <v>46112</v>
      </c>
      <c r="U224" s="33">
        <v>1872675</v>
      </c>
      <c r="V224" s="36">
        <v>46195</v>
      </c>
      <c r="W224" s="6">
        <v>0</v>
      </c>
      <c r="X224" s="40" t="s">
        <v>30</v>
      </c>
      <c r="Z224" s="38"/>
      <c r="AA224" s="39"/>
    </row>
    <row r="225" spans="1:27" x14ac:dyDescent="0.25">
      <c r="A225" s="3" t="s">
        <v>469</v>
      </c>
      <c r="B225" s="2" t="s">
        <v>470</v>
      </c>
      <c r="C225" s="3">
        <v>3</v>
      </c>
      <c r="D225" s="33">
        <v>193553</v>
      </c>
      <c r="E225" s="33">
        <v>157257</v>
      </c>
      <c r="F225" s="33">
        <v>8830</v>
      </c>
      <c r="G225" s="33">
        <v>27466</v>
      </c>
      <c r="H225" s="32">
        <v>36296</v>
      </c>
      <c r="I225" s="33">
        <v>0</v>
      </c>
      <c r="J225" s="33">
        <v>6623</v>
      </c>
      <c r="K225" s="33">
        <v>0</v>
      </c>
      <c r="L225" s="33">
        <v>18647</v>
      </c>
      <c r="M225" s="33">
        <v>0</v>
      </c>
      <c r="N225" s="34">
        <v>25270</v>
      </c>
      <c r="O225" s="33">
        <v>5869</v>
      </c>
      <c r="P225" s="35">
        <v>45929</v>
      </c>
      <c r="Q225" s="33">
        <v>5869</v>
      </c>
      <c r="R225" s="35">
        <v>46020</v>
      </c>
      <c r="S225" s="33">
        <v>5869</v>
      </c>
      <c r="T225" s="35">
        <v>46112</v>
      </c>
      <c r="U225" s="33">
        <v>7663</v>
      </c>
      <c r="V225" s="36">
        <v>46195</v>
      </c>
      <c r="W225" s="6">
        <v>0</v>
      </c>
      <c r="X225" s="40" t="s">
        <v>30</v>
      </c>
      <c r="Z225" s="38"/>
      <c r="AA225" s="39"/>
    </row>
    <row r="226" spans="1:27" x14ac:dyDescent="0.25">
      <c r="A226" s="3" t="s">
        <v>471</v>
      </c>
      <c r="B226" s="2" t="s">
        <v>472</v>
      </c>
      <c r="C226" s="3">
        <v>16</v>
      </c>
      <c r="D226" s="33">
        <v>1128332</v>
      </c>
      <c r="E226" s="33">
        <v>838704</v>
      </c>
      <c r="F226" s="33">
        <v>223586</v>
      </c>
      <c r="G226" s="33">
        <v>66042</v>
      </c>
      <c r="H226" s="32">
        <v>289628</v>
      </c>
      <c r="I226" s="33">
        <v>15320</v>
      </c>
      <c r="J226" s="33">
        <v>156200</v>
      </c>
      <c r="K226" s="33">
        <v>0</v>
      </c>
      <c r="L226" s="33">
        <v>44836</v>
      </c>
      <c r="M226" s="33">
        <v>0</v>
      </c>
      <c r="N226" s="34">
        <v>216356</v>
      </c>
      <c r="O226" s="33">
        <v>53011</v>
      </c>
      <c r="P226" s="35">
        <v>45929</v>
      </c>
      <c r="Q226" s="33">
        <v>53011</v>
      </c>
      <c r="R226" s="35">
        <v>46020</v>
      </c>
      <c r="S226" s="33">
        <v>53011</v>
      </c>
      <c r="T226" s="35">
        <v>46112</v>
      </c>
      <c r="U226" s="33">
        <v>57323</v>
      </c>
      <c r="V226" s="36">
        <v>46195</v>
      </c>
      <c r="W226" s="6">
        <v>49145</v>
      </c>
      <c r="X226" s="40" t="s">
        <v>77</v>
      </c>
      <c r="Z226" s="38"/>
      <c r="AA226" s="39"/>
    </row>
    <row r="227" spans="1:27" x14ac:dyDescent="0.25">
      <c r="A227" s="3" t="s">
        <v>473</v>
      </c>
      <c r="B227" s="2" t="s">
        <v>474</v>
      </c>
      <c r="C227" s="3">
        <v>1</v>
      </c>
      <c r="D227" s="33">
        <v>142030</v>
      </c>
      <c r="E227" s="33">
        <v>52419</v>
      </c>
      <c r="F227" s="33">
        <v>34311</v>
      </c>
      <c r="G227" s="33">
        <v>55300</v>
      </c>
      <c r="H227" s="32">
        <v>89611</v>
      </c>
      <c r="I227" s="33">
        <v>0</v>
      </c>
      <c r="J227" s="33">
        <v>25733</v>
      </c>
      <c r="K227" s="33">
        <v>0</v>
      </c>
      <c r="L227" s="33">
        <v>37543</v>
      </c>
      <c r="M227" s="33">
        <v>0</v>
      </c>
      <c r="N227" s="34">
        <v>63276</v>
      </c>
      <c r="O227" s="33">
        <v>14916</v>
      </c>
      <c r="P227" s="35">
        <v>45929</v>
      </c>
      <c r="Q227" s="33">
        <v>14916</v>
      </c>
      <c r="R227" s="35">
        <v>46020</v>
      </c>
      <c r="S227" s="33">
        <v>14916</v>
      </c>
      <c r="T227" s="35">
        <v>46112</v>
      </c>
      <c r="U227" s="33">
        <v>18528</v>
      </c>
      <c r="V227" s="36">
        <v>46195</v>
      </c>
      <c r="W227" s="6">
        <v>0</v>
      </c>
      <c r="X227" s="40" t="s">
        <v>30</v>
      </c>
      <c r="Z227" s="38"/>
      <c r="AA227" s="39"/>
    </row>
    <row r="228" spans="1:27" x14ac:dyDescent="0.25">
      <c r="A228" s="3" t="s">
        <v>475</v>
      </c>
      <c r="B228" s="2" t="s">
        <v>476</v>
      </c>
      <c r="C228" s="3">
        <v>58</v>
      </c>
      <c r="D228" s="33">
        <v>9086111</v>
      </c>
      <c r="E228" s="33">
        <v>3040302</v>
      </c>
      <c r="F228" s="33">
        <v>4485876</v>
      </c>
      <c r="G228" s="33">
        <v>1559933</v>
      </c>
      <c r="H228" s="32">
        <v>6045809</v>
      </c>
      <c r="I228" s="33">
        <v>0</v>
      </c>
      <c r="J228" s="33">
        <v>3364407</v>
      </c>
      <c r="K228" s="33">
        <v>0</v>
      </c>
      <c r="L228" s="33">
        <v>1059030</v>
      </c>
      <c r="M228" s="33">
        <v>0</v>
      </c>
      <c r="N228" s="34">
        <v>4423437</v>
      </c>
      <c r="O228" s="33">
        <v>1080396</v>
      </c>
      <c r="P228" s="35">
        <v>45929</v>
      </c>
      <c r="Q228" s="33">
        <v>1080396</v>
      </c>
      <c r="R228" s="35">
        <v>46020</v>
      </c>
      <c r="S228" s="33">
        <v>1080396</v>
      </c>
      <c r="T228" s="35">
        <v>46112</v>
      </c>
      <c r="U228" s="33">
        <v>1182249</v>
      </c>
      <c r="V228" s="36">
        <v>46195</v>
      </c>
      <c r="W228" s="6">
        <v>0</v>
      </c>
      <c r="X228" s="40" t="s">
        <v>30</v>
      </c>
      <c r="Z228" s="38"/>
      <c r="AA228" s="39"/>
    </row>
    <row r="229" spans="1:27" x14ac:dyDescent="0.25">
      <c r="A229" s="3" t="s">
        <v>477</v>
      </c>
      <c r="B229" s="2" t="s">
        <v>478</v>
      </c>
      <c r="C229" s="3">
        <v>8</v>
      </c>
      <c r="D229" s="33">
        <v>971508</v>
      </c>
      <c r="E229" s="33">
        <v>366933</v>
      </c>
      <c r="F229" s="33">
        <v>507403</v>
      </c>
      <c r="G229" s="33">
        <v>97172</v>
      </c>
      <c r="H229" s="32">
        <v>604575</v>
      </c>
      <c r="I229" s="33">
        <v>0</v>
      </c>
      <c r="J229" s="33">
        <v>380552</v>
      </c>
      <c r="K229" s="33">
        <v>0</v>
      </c>
      <c r="L229" s="33">
        <v>65970</v>
      </c>
      <c r="M229" s="33">
        <v>0</v>
      </c>
      <c r="N229" s="34">
        <v>446522</v>
      </c>
      <c r="O229" s="33">
        <v>110238</v>
      </c>
      <c r="P229" s="35">
        <v>45929</v>
      </c>
      <c r="Q229" s="33">
        <v>110238</v>
      </c>
      <c r="R229" s="35">
        <v>46020</v>
      </c>
      <c r="S229" s="33">
        <v>109851</v>
      </c>
      <c r="T229" s="35">
        <v>46112</v>
      </c>
      <c r="U229" s="33">
        <v>116195</v>
      </c>
      <c r="V229" s="36">
        <v>46195</v>
      </c>
      <c r="W229" s="6">
        <v>163192</v>
      </c>
      <c r="X229" s="40" t="s">
        <v>77</v>
      </c>
      <c r="Z229" s="38"/>
      <c r="AA229" s="39"/>
    </row>
    <row r="230" spans="1:27" x14ac:dyDescent="0.25">
      <c r="A230" s="3" t="s">
        <v>479</v>
      </c>
      <c r="B230" s="2" t="s">
        <v>480</v>
      </c>
      <c r="C230" s="3">
        <v>16</v>
      </c>
      <c r="D230" s="33">
        <v>1858773</v>
      </c>
      <c r="E230" s="33">
        <v>786285</v>
      </c>
      <c r="F230" s="33">
        <v>743998</v>
      </c>
      <c r="G230" s="33">
        <v>328489</v>
      </c>
      <c r="H230" s="32">
        <v>1072487</v>
      </c>
      <c r="I230" s="33">
        <v>0</v>
      </c>
      <c r="J230" s="33">
        <v>557999</v>
      </c>
      <c r="K230" s="33">
        <v>0</v>
      </c>
      <c r="L230" s="33">
        <v>223009</v>
      </c>
      <c r="M230" s="33">
        <v>0</v>
      </c>
      <c r="N230" s="34">
        <v>781008</v>
      </c>
      <c r="O230" s="33">
        <v>189890</v>
      </c>
      <c r="P230" s="35">
        <v>45929</v>
      </c>
      <c r="Q230" s="33">
        <v>189890</v>
      </c>
      <c r="R230" s="35">
        <v>46020</v>
      </c>
      <c r="S230" s="33">
        <v>189890</v>
      </c>
      <c r="T230" s="35">
        <v>46112</v>
      </c>
      <c r="U230" s="33">
        <v>211338</v>
      </c>
      <c r="V230" s="36">
        <v>46195</v>
      </c>
      <c r="W230" s="6">
        <v>0</v>
      </c>
      <c r="X230" s="40" t="s">
        <v>30</v>
      </c>
      <c r="Z230" s="38"/>
      <c r="AA230" s="39"/>
    </row>
    <row r="231" spans="1:27" x14ac:dyDescent="0.25">
      <c r="A231" s="3" t="s">
        <v>481</v>
      </c>
      <c r="B231" s="2" t="s">
        <v>482</v>
      </c>
      <c r="C231" s="3">
        <v>17</v>
      </c>
      <c r="D231" s="33">
        <v>2731090</v>
      </c>
      <c r="E231" s="33">
        <v>812495</v>
      </c>
      <c r="F231" s="33">
        <v>1581472</v>
      </c>
      <c r="G231" s="33">
        <v>337124</v>
      </c>
      <c r="H231" s="32">
        <v>1918596</v>
      </c>
      <c r="I231" s="33">
        <v>0</v>
      </c>
      <c r="J231" s="33">
        <v>1186104</v>
      </c>
      <c r="K231" s="33">
        <v>0</v>
      </c>
      <c r="L231" s="33">
        <v>228872</v>
      </c>
      <c r="M231" s="33">
        <v>0</v>
      </c>
      <c r="N231" s="34">
        <v>1414976</v>
      </c>
      <c r="O231" s="33">
        <v>348241</v>
      </c>
      <c r="P231" s="35">
        <v>45929</v>
      </c>
      <c r="Q231" s="33">
        <v>348241</v>
      </c>
      <c r="R231" s="35">
        <v>46020</v>
      </c>
      <c r="S231" s="33">
        <v>348241</v>
      </c>
      <c r="T231" s="35">
        <v>46112</v>
      </c>
      <c r="U231" s="33">
        <v>370253</v>
      </c>
      <c r="V231" s="36">
        <v>46195</v>
      </c>
      <c r="W231" s="6">
        <v>0</v>
      </c>
      <c r="X231" s="40" t="s">
        <v>30</v>
      </c>
      <c r="Z231" s="38"/>
      <c r="AA231" s="39"/>
    </row>
    <row r="232" spans="1:27" x14ac:dyDescent="0.25">
      <c r="A232" s="3" t="s">
        <v>483</v>
      </c>
      <c r="B232" s="2" t="s">
        <v>484</v>
      </c>
      <c r="C232" s="3">
        <v>27</v>
      </c>
      <c r="D232" s="33">
        <v>3501230</v>
      </c>
      <c r="E232" s="33">
        <v>1415313</v>
      </c>
      <c r="F232" s="33">
        <v>1449839</v>
      </c>
      <c r="G232" s="33">
        <v>636077</v>
      </c>
      <c r="H232" s="32">
        <v>2085916</v>
      </c>
      <c r="I232" s="33">
        <v>0</v>
      </c>
      <c r="J232" s="33">
        <v>1087379</v>
      </c>
      <c r="K232" s="33">
        <v>0</v>
      </c>
      <c r="L232" s="33">
        <v>431829</v>
      </c>
      <c r="M232" s="33">
        <v>0</v>
      </c>
      <c r="N232" s="34">
        <v>1519208</v>
      </c>
      <c r="O232" s="33">
        <v>369419</v>
      </c>
      <c r="P232" s="35">
        <v>45929</v>
      </c>
      <c r="Q232" s="33">
        <v>369419</v>
      </c>
      <c r="R232" s="35">
        <v>46020</v>
      </c>
      <c r="S232" s="33">
        <v>369419</v>
      </c>
      <c r="T232" s="35">
        <v>46112</v>
      </c>
      <c r="U232" s="33">
        <v>410951</v>
      </c>
      <c r="V232" s="36">
        <v>46195</v>
      </c>
      <c r="W232" s="6">
        <v>0</v>
      </c>
      <c r="X232" s="40" t="s">
        <v>30</v>
      </c>
      <c r="Z232" s="38"/>
      <c r="AA232" s="39"/>
    </row>
    <row r="233" spans="1:27" x14ac:dyDescent="0.25">
      <c r="A233" s="3" t="s">
        <v>485</v>
      </c>
      <c r="B233" s="2" t="s">
        <v>486</v>
      </c>
      <c r="C233" s="3">
        <v>28</v>
      </c>
      <c r="D233" s="33">
        <v>2917974</v>
      </c>
      <c r="E233" s="33">
        <v>1441523</v>
      </c>
      <c r="F233" s="33">
        <v>923639</v>
      </c>
      <c r="G233" s="33">
        <v>552812</v>
      </c>
      <c r="H233" s="32">
        <v>1476451</v>
      </c>
      <c r="I233" s="33">
        <v>44892</v>
      </c>
      <c r="J233" s="33">
        <v>659060</v>
      </c>
      <c r="K233" s="33">
        <v>45997</v>
      </c>
      <c r="L233" s="33">
        <v>344074</v>
      </c>
      <c r="M233" s="33">
        <v>0</v>
      </c>
      <c r="N233" s="34">
        <v>1094023</v>
      </c>
      <c r="O233" s="33">
        <v>265233</v>
      </c>
      <c r="P233" s="35">
        <v>45929</v>
      </c>
      <c r="Q233" s="33">
        <v>265233</v>
      </c>
      <c r="R233" s="35">
        <v>46020</v>
      </c>
      <c r="S233" s="33">
        <v>265233</v>
      </c>
      <c r="T233" s="35">
        <v>46112</v>
      </c>
      <c r="U233" s="33">
        <v>298324</v>
      </c>
      <c r="V233" s="36">
        <v>46195</v>
      </c>
      <c r="W233" s="6">
        <v>0</v>
      </c>
      <c r="X233" s="40" t="s">
        <v>30</v>
      </c>
      <c r="Z233" s="38"/>
      <c r="AA233" s="39"/>
    </row>
    <row r="234" spans="1:27" x14ac:dyDescent="0.25">
      <c r="A234" s="3" t="s">
        <v>487</v>
      </c>
      <c r="B234" s="2" t="s">
        <v>488</v>
      </c>
      <c r="C234" s="3">
        <v>19</v>
      </c>
      <c r="D234" s="33">
        <v>2688480</v>
      </c>
      <c r="E234" s="33">
        <v>995961</v>
      </c>
      <c r="F234" s="33">
        <v>661990</v>
      </c>
      <c r="G234" s="33">
        <v>1030528</v>
      </c>
      <c r="H234" s="32">
        <v>1692518</v>
      </c>
      <c r="I234" s="33">
        <v>0</v>
      </c>
      <c r="J234" s="33">
        <v>496493</v>
      </c>
      <c r="K234" s="33">
        <v>0</v>
      </c>
      <c r="L234" s="33">
        <v>699620</v>
      </c>
      <c r="M234" s="33">
        <v>0</v>
      </c>
      <c r="N234" s="34">
        <v>1196113</v>
      </c>
      <c r="O234" s="33">
        <v>282206</v>
      </c>
      <c r="P234" s="35">
        <v>45929</v>
      </c>
      <c r="Q234" s="33">
        <v>282206</v>
      </c>
      <c r="R234" s="35">
        <v>46020</v>
      </c>
      <c r="S234" s="33">
        <v>282206</v>
      </c>
      <c r="T234" s="35">
        <v>46112</v>
      </c>
      <c r="U234" s="33">
        <v>349495</v>
      </c>
      <c r="V234" s="36">
        <v>46195</v>
      </c>
      <c r="W234" s="6">
        <v>0</v>
      </c>
      <c r="X234" s="40" t="s">
        <v>30</v>
      </c>
      <c r="Z234" s="38"/>
      <c r="AA234" s="39"/>
    </row>
    <row r="235" spans="1:27" x14ac:dyDescent="0.25">
      <c r="A235" s="3" t="s">
        <v>489</v>
      </c>
      <c r="B235" s="2" t="s">
        <v>490</v>
      </c>
      <c r="C235" s="3">
        <v>14</v>
      </c>
      <c r="D235" s="33">
        <v>1895710</v>
      </c>
      <c r="E235" s="33">
        <v>681447</v>
      </c>
      <c r="F235" s="33">
        <v>890798</v>
      </c>
      <c r="G235" s="33">
        <v>323465</v>
      </c>
      <c r="H235" s="32">
        <v>1214263</v>
      </c>
      <c r="I235" s="33">
        <v>0</v>
      </c>
      <c r="J235" s="33">
        <v>668099</v>
      </c>
      <c r="K235" s="33">
        <v>0</v>
      </c>
      <c r="L235" s="33">
        <v>219599</v>
      </c>
      <c r="M235" s="33">
        <v>0</v>
      </c>
      <c r="N235" s="34">
        <v>887698</v>
      </c>
      <c r="O235" s="33">
        <v>211418</v>
      </c>
      <c r="P235" s="35">
        <v>45929</v>
      </c>
      <c r="Q235" s="33">
        <v>211418</v>
      </c>
      <c r="R235" s="35">
        <v>46020</v>
      </c>
      <c r="S235" s="33">
        <v>211418</v>
      </c>
      <c r="T235" s="35">
        <v>46112</v>
      </c>
      <c r="U235" s="33">
        <v>253444</v>
      </c>
      <c r="V235" s="36">
        <v>46195</v>
      </c>
      <c r="W235" s="6">
        <v>0</v>
      </c>
      <c r="X235" s="40" t="s">
        <v>30</v>
      </c>
      <c r="Z235" s="38"/>
      <c r="AA235" s="39"/>
    </row>
    <row r="236" spans="1:27" x14ac:dyDescent="0.25">
      <c r="A236" s="3" t="s">
        <v>491</v>
      </c>
      <c r="B236" s="2" t="s">
        <v>492</v>
      </c>
      <c r="C236" s="3">
        <v>16</v>
      </c>
      <c r="D236" s="33">
        <v>1814591</v>
      </c>
      <c r="E236" s="33">
        <v>838704</v>
      </c>
      <c r="F236" s="33">
        <v>668526</v>
      </c>
      <c r="G236" s="33">
        <v>307361</v>
      </c>
      <c r="H236" s="32">
        <v>975887</v>
      </c>
      <c r="I236" s="33">
        <v>0</v>
      </c>
      <c r="J236" s="33">
        <v>501395</v>
      </c>
      <c r="K236" s="33">
        <v>0</v>
      </c>
      <c r="L236" s="33">
        <v>208666</v>
      </c>
      <c r="M236" s="33">
        <v>0</v>
      </c>
      <c r="N236" s="34">
        <v>710061</v>
      </c>
      <c r="O236" s="33">
        <v>172498</v>
      </c>
      <c r="P236" s="35">
        <v>45929</v>
      </c>
      <c r="Q236" s="33">
        <v>172498</v>
      </c>
      <c r="R236" s="35">
        <v>46020</v>
      </c>
      <c r="S236" s="33">
        <v>172498</v>
      </c>
      <c r="T236" s="35">
        <v>46112</v>
      </c>
      <c r="U236" s="33">
        <v>192567</v>
      </c>
      <c r="V236" s="36">
        <v>46195</v>
      </c>
      <c r="W236" s="6">
        <v>0</v>
      </c>
      <c r="X236" s="40" t="s">
        <v>30</v>
      </c>
      <c r="Z236" s="38"/>
      <c r="AA236" s="39"/>
    </row>
    <row r="237" spans="1:27" x14ac:dyDescent="0.25">
      <c r="A237" s="3" t="s">
        <v>493</v>
      </c>
      <c r="B237" s="2" t="s">
        <v>494</v>
      </c>
      <c r="C237" s="3">
        <v>44</v>
      </c>
      <c r="D237" s="33">
        <v>7028456</v>
      </c>
      <c r="E237" s="33">
        <v>2306436</v>
      </c>
      <c r="F237" s="33">
        <v>2989731</v>
      </c>
      <c r="G237" s="33">
        <v>1732290</v>
      </c>
      <c r="H237" s="32">
        <v>4722021</v>
      </c>
      <c r="I237" s="33">
        <v>0</v>
      </c>
      <c r="J237" s="33">
        <v>2242298</v>
      </c>
      <c r="K237" s="33">
        <v>0</v>
      </c>
      <c r="L237" s="33">
        <v>1176042</v>
      </c>
      <c r="M237" s="33">
        <v>-40177</v>
      </c>
      <c r="N237" s="34">
        <v>3378163</v>
      </c>
      <c r="O237" s="33">
        <v>816264</v>
      </c>
      <c r="P237" s="35">
        <v>45929</v>
      </c>
      <c r="Q237" s="33">
        <v>816264</v>
      </c>
      <c r="R237" s="35">
        <v>46020</v>
      </c>
      <c r="S237" s="33">
        <v>816264</v>
      </c>
      <c r="T237" s="35">
        <v>46112</v>
      </c>
      <c r="U237" s="33">
        <v>929371</v>
      </c>
      <c r="V237" s="36">
        <v>46195</v>
      </c>
      <c r="W237" s="6">
        <v>0</v>
      </c>
      <c r="X237" s="40" t="s">
        <v>30</v>
      </c>
      <c r="Z237" s="38"/>
      <c r="AA237" s="39"/>
    </row>
    <row r="238" spans="1:27" x14ac:dyDescent="0.25">
      <c r="A238" s="3" t="s">
        <v>495</v>
      </c>
      <c r="B238" s="41" t="s">
        <v>496</v>
      </c>
      <c r="C238" s="33">
        <v>0</v>
      </c>
      <c r="D238" s="33">
        <v>0</v>
      </c>
      <c r="E238" s="33">
        <v>0</v>
      </c>
      <c r="F238" s="33">
        <v>0</v>
      </c>
      <c r="G238" s="33">
        <v>0</v>
      </c>
      <c r="H238" s="32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4">
        <v>0</v>
      </c>
      <c r="O238" s="33">
        <v>0</v>
      </c>
      <c r="P238" s="36" t="s">
        <v>30</v>
      </c>
      <c r="Q238" s="33">
        <v>0</v>
      </c>
      <c r="R238" s="36" t="s">
        <v>30</v>
      </c>
      <c r="S238" s="33">
        <v>0</v>
      </c>
      <c r="T238" s="36" t="s">
        <v>30</v>
      </c>
      <c r="U238" s="33">
        <v>0</v>
      </c>
      <c r="V238" s="36">
        <v>46195</v>
      </c>
      <c r="W238" s="6">
        <v>37851</v>
      </c>
      <c r="X238" s="40" t="s">
        <v>77</v>
      </c>
      <c r="Z238" s="38"/>
      <c r="AA238" s="39"/>
    </row>
    <row r="239" spans="1:27" x14ac:dyDescent="0.25">
      <c r="A239" s="3" t="s">
        <v>497</v>
      </c>
      <c r="B239" s="2" t="s">
        <v>498</v>
      </c>
      <c r="C239" s="3">
        <v>19</v>
      </c>
      <c r="D239" s="33">
        <v>2968811</v>
      </c>
      <c r="E239" s="33">
        <v>943542</v>
      </c>
      <c r="F239" s="33">
        <v>1594418</v>
      </c>
      <c r="G239" s="33">
        <v>430852</v>
      </c>
      <c r="H239" s="32">
        <v>2025270</v>
      </c>
      <c r="I239" s="33">
        <v>0</v>
      </c>
      <c r="J239" s="33">
        <v>1195814</v>
      </c>
      <c r="K239" s="33">
        <v>0</v>
      </c>
      <c r="L239" s="33">
        <v>292503</v>
      </c>
      <c r="M239" s="33">
        <v>0</v>
      </c>
      <c r="N239" s="34">
        <v>1488317</v>
      </c>
      <c r="O239" s="33">
        <v>365046</v>
      </c>
      <c r="P239" s="35">
        <v>45929</v>
      </c>
      <c r="Q239" s="33">
        <v>365046</v>
      </c>
      <c r="R239" s="35">
        <v>46020</v>
      </c>
      <c r="S239" s="33">
        <v>365046</v>
      </c>
      <c r="T239" s="35">
        <v>46112</v>
      </c>
      <c r="U239" s="33">
        <v>393179</v>
      </c>
      <c r="V239" s="36">
        <v>46195</v>
      </c>
      <c r="W239" s="6">
        <v>0</v>
      </c>
      <c r="X239" s="40" t="s">
        <v>30</v>
      </c>
      <c r="Z239" s="38"/>
      <c r="AA239" s="39"/>
    </row>
    <row r="240" spans="1:27" x14ac:dyDescent="0.25">
      <c r="A240" s="3" t="s">
        <v>499</v>
      </c>
      <c r="B240" s="2" t="s">
        <v>500</v>
      </c>
      <c r="C240" s="3">
        <v>40</v>
      </c>
      <c r="D240" s="33">
        <v>4776366</v>
      </c>
      <c r="E240" s="33">
        <v>2070551</v>
      </c>
      <c r="F240" s="33">
        <v>2128786</v>
      </c>
      <c r="G240" s="33">
        <v>577029</v>
      </c>
      <c r="H240" s="32">
        <v>2705815</v>
      </c>
      <c r="I240" s="33">
        <v>0</v>
      </c>
      <c r="J240" s="33">
        <v>1596590</v>
      </c>
      <c r="K240" s="33">
        <v>0</v>
      </c>
      <c r="L240" s="33">
        <v>391742</v>
      </c>
      <c r="M240" s="33">
        <v>0</v>
      </c>
      <c r="N240" s="34">
        <v>1988332</v>
      </c>
      <c r="O240" s="33">
        <v>487664</v>
      </c>
      <c r="P240" s="35">
        <v>45929</v>
      </c>
      <c r="Q240" s="33">
        <v>487664</v>
      </c>
      <c r="R240" s="35">
        <v>46020</v>
      </c>
      <c r="S240" s="33">
        <v>487664</v>
      </c>
      <c r="T240" s="35">
        <v>46112</v>
      </c>
      <c r="U240" s="33">
        <v>525340</v>
      </c>
      <c r="V240" s="36">
        <v>46195</v>
      </c>
      <c r="W240" s="6">
        <v>0</v>
      </c>
      <c r="X240" s="40" t="s">
        <v>30</v>
      </c>
      <c r="Z240" s="38"/>
      <c r="AA240" s="39"/>
    </row>
    <row r="241" spans="1:27" x14ac:dyDescent="0.25">
      <c r="A241" s="3" t="s">
        <v>501</v>
      </c>
      <c r="B241" s="2" t="s">
        <v>502</v>
      </c>
      <c r="C241" s="3">
        <v>37</v>
      </c>
      <c r="D241" s="33">
        <v>4621928</v>
      </c>
      <c r="E241" s="33">
        <v>1913294</v>
      </c>
      <c r="F241" s="33">
        <v>2136553</v>
      </c>
      <c r="G241" s="33">
        <v>572081</v>
      </c>
      <c r="H241" s="32">
        <v>2708634</v>
      </c>
      <c r="I241" s="33">
        <v>0</v>
      </c>
      <c r="J241" s="33">
        <v>1602415</v>
      </c>
      <c r="K241" s="33">
        <v>0</v>
      </c>
      <c r="L241" s="33">
        <v>388383</v>
      </c>
      <c r="M241" s="33">
        <v>0</v>
      </c>
      <c r="N241" s="34">
        <v>1990798</v>
      </c>
      <c r="O241" s="33">
        <v>488361</v>
      </c>
      <c r="P241" s="35">
        <v>45929</v>
      </c>
      <c r="Q241" s="33">
        <v>488361</v>
      </c>
      <c r="R241" s="35">
        <v>46020</v>
      </c>
      <c r="S241" s="33">
        <v>488361</v>
      </c>
      <c r="T241" s="35">
        <v>46112</v>
      </c>
      <c r="U241" s="33">
        <v>525715</v>
      </c>
      <c r="V241" s="36">
        <v>46195</v>
      </c>
      <c r="W241" s="6">
        <v>0</v>
      </c>
      <c r="X241" s="40" t="s">
        <v>30</v>
      </c>
      <c r="Z241" s="38"/>
      <c r="AA241" s="39"/>
    </row>
    <row r="242" spans="1:27" x14ac:dyDescent="0.25">
      <c r="A242" s="3" t="s">
        <v>503</v>
      </c>
      <c r="B242" s="2" t="s">
        <v>504</v>
      </c>
      <c r="C242" s="3">
        <v>19</v>
      </c>
      <c r="D242" s="33">
        <v>2289590</v>
      </c>
      <c r="E242" s="33">
        <v>995961</v>
      </c>
      <c r="F242" s="33">
        <v>815044</v>
      </c>
      <c r="G242" s="33">
        <v>478585</v>
      </c>
      <c r="H242" s="32">
        <v>1293629</v>
      </c>
      <c r="I242" s="33">
        <v>0</v>
      </c>
      <c r="J242" s="33">
        <v>611283</v>
      </c>
      <c r="K242" s="33">
        <v>0</v>
      </c>
      <c r="L242" s="33">
        <v>324909</v>
      </c>
      <c r="M242" s="33">
        <v>0</v>
      </c>
      <c r="N242" s="34">
        <v>936192</v>
      </c>
      <c r="O242" s="33">
        <v>226236</v>
      </c>
      <c r="P242" s="35">
        <v>45929</v>
      </c>
      <c r="Q242" s="33">
        <v>226236</v>
      </c>
      <c r="R242" s="35">
        <v>46020</v>
      </c>
      <c r="S242" s="33">
        <v>226236</v>
      </c>
      <c r="T242" s="35">
        <v>46112</v>
      </c>
      <c r="U242" s="33">
        <v>257484</v>
      </c>
      <c r="V242" s="36">
        <v>46195</v>
      </c>
      <c r="W242" s="6">
        <v>0</v>
      </c>
      <c r="X242" s="40" t="s">
        <v>30</v>
      </c>
      <c r="Z242" s="38"/>
      <c r="AA242" s="39"/>
    </row>
    <row r="243" spans="1:27" x14ac:dyDescent="0.25">
      <c r="A243" s="3" t="s">
        <v>505</v>
      </c>
      <c r="B243" s="2" t="s">
        <v>506</v>
      </c>
      <c r="C243" s="3">
        <v>24</v>
      </c>
      <c r="D243" s="33">
        <v>4195360</v>
      </c>
      <c r="E243" s="33">
        <v>1258056</v>
      </c>
      <c r="F243" s="33">
        <v>2576054</v>
      </c>
      <c r="G243" s="33">
        <v>361250</v>
      </c>
      <c r="H243" s="32">
        <v>2937304</v>
      </c>
      <c r="I243" s="33">
        <v>0</v>
      </c>
      <c r="J243" s="33">
        <v>1932041</v>
      </c>
      <c r="K243" s="33">
        <v>0</v>
      </c>
      <c r="L243" s="33">
        <v>245251</v>
      </c>
      <c r="M243" s="33">
        <v>0</v>
      </c>
      <c r="N243" s="34">
        <v>2177292</v>
      </c>
      <c r="O243" s="33">
        <v>538426</v>
      </c>
      <c r="P243" s="35">
        <v>45929</v>
      </c>
      <c r="Q243" s="33">
        <v>538426</v>
      </c>
      <c r="R243" s="35">
        <v>46020</v>
      </c>
      <c r="S243" s="33">
        <v>538426</v>
      </c>
      <c r="T243" s="35">
        <v>46112</v>
      </c>
      <c r="U243" s="33">
        <v>562014</v>
      </c>
      <c r="V243" s="36">
        <v>46195</v>
      </c>
      <c r="W243" s="6">
        <v>0</v>
      </c>
      <c r="X243" s="40" t="s">
        <v>30</v>
      </c>
      <c r="Z243" s="38"/>
      <c r="AA243" s="39"/>
    </row>
    <row r="244" spans="1:27" x14ac:dyDescent="0.25">
      <c r="A244" s="3" t="s">
        <v>507</v>
      </c>
      <c r="B244" s="2" t="s">
        <v>508</v>
      </c>
      <c r="C244" s="3">
        <v>22</v>
      </c>
      <c r="D244" s="33">
        <v>3422200</v>
      </c>
      <c r="E244" s="33">
        <v>1153218</v>
      </c>
      <c r="F244" s="33">
        <v>1664920</v>
      </c>
      <c r="G244" s="33">
        <v>604062</v>
      </c>
      <c r="H244" s="32">
        <v>2268982</v>
      </c>
      <c r="I244" s="33">
        <v>0</v>
      </c>
      <c r="J244" s="33">
        <v>1248690</v>
      </c>
      <c r="K244" s="33">
        <v>0</v>
      </c>
      <c r="L244" s="33">
        <v>410094</v>
      </c>
      <c r="M244" s="33">
        <v>0</v>
      </c>
      <c r="N244" s="34">
        <v>1658784</v>
      </c>
      <c r="O244" s="33">
        <v>404836</v>
      </c>
      <c r="P244" s="35">
        <v>45929</v>
      </c>
      <c r="Q244" s="33">
        <v>404836</v>
      </c>
      <c r="R244" s="35">
        <v>46020</v>
      </c>
      <c r="S244" s="33">
        <v>404836</v>
      </c>
      <c r="T244" s="35">
        <v>46112</v>
      </c>
      <c r="U244" s="33">
        <v>444276</v>
      </c>
      <c r="V244" s="36">
        <v>46195</v>
      </c>
      <c r="W244" s="6">
        <v>0</v>
      </c>
      <c r="X244" s="40" t="s">
        <v>30</v>
      </c>
      <c r="Z244" s="38"/>
      <c r="AA244" s="39"/>
    </row>
    <row r="245" spans="1:27" x14ac:dyDescent="0.25">
      <c r="A245" s="3" t="s">
        <v>509</v>
      </c>
      <c r="B245" s="2" t="s">
        <v>510</v>
      </c>
      <c r="C245" s="3">
        <v>26</v>
      </c>
      <c r="D245" s="33">
        <v>3854621</v>
      </c>
      <c r="E245" s="33">
        <v>1362894</v>
      </c>
      <c r="F245" s="33">
        <v>1449560</v>
      </c>
      <c r="G245" s="33">
        <v>1042167</v>
      </c>
      <c r="H245" s="32">
        <v>2491727</v>
      </c>
      <c r="I245" s="33">
        <v>0</v>
      </c>
      <c r="J245" s="33">
        <v>1087170</v>
      </c>
      <c r="K245" s="33">
        <v>0</v>
      </c>
      <c r="L245" s="33">
        <v>707522</v>
      </c>
      <c r="M245" s="33">
        <v>0</v>
      </c>
      <c r="N245" s="34">
        <v>1794692</v>
      </c>
      <c r="O245" s="33">
        <v>434407</v>
      </c>
      <c r="P245" s="35">
        <v>45929</v>
      </c>
      <c r="Q245" s="33">
        <v>434407</v>
      </c>
      <c r="R245" s="35">
        <v>46020</v>
      </c>
      <c r="S245" s="33">
        <v>428915</v>
      </c>
      <c r="T245" s="35">
        <v>46112</v>
      </c>
      <c r="U245" s="33">
        <v>496963</v>
      </c>
      <c r="V245" s="36">
        <v>46195</v>
      </c>
      <c r="W245" s="6">
        <v>299641</v>
      </c>
      <c r="X245" s="40" t="s">
        <v>77</v>
      </c>
      <c r="Z245" s="38"/>
      <c r="AA245" s="39"/>
    </row>
    <row r="246" spans="1:27" x14ac:dyDescent="0.25">
      <c r="A246" s="3" t="s">
        <v>511</v>
      </c>
      <c r="B246" s="2" t="s">
        <v>512</v>
      </c>
      <c r="C246" s="3">
        <v>2</v>
      </c>
      <c r="D246" s="33">
        <v>182826</v>
      </c>
      <c r="E246" s="33">
        <v>104838</v>
      </c>
      <c r="F246" s="33">
        <v>55459</v>
      </c>
      <c r="G246" s="33">
        <v>22528</v>
      </c>
      <c r="H246" s="32">
        <v>77987</v>
      </c>
      <c r="I246" s="33">
        <v>0</v>
      </c>
      <c r="J246" s="33">
        <v>41594</v>
      </c>
      <c r="K246" s="33">
        <v>0</v>
      </c>
      <c r="L246" s="33">
        <v>15294</v>
      </c>
      <c r="M246" s="33">
        <v>0</v>
      </c>
      <c r="N246" s="34">
        <v>56888</v>
      </c>
      <c r="O246" s="33">
        <v>13855</v>
      </c>
      <c r="P246" s="35">
        <v>45929</v>
      </c>
      <c r="Q246" s="33">
        <v>13855</v>
      </c>
      <c r="R246" s="35">
        <v>46020</v>
      </c>
      <c r="S246" s="33">
        <v>13855</v>
      </c>
      <c r="T246" s="35">
        <v>46112</v>
      </c>
      <c r="U246" s="33">
        <v>15323</v>
      </c>
      <c r="V246" s="36">
        <v>46195</v>
      </c>
      <c r="W246" s="6">
        <v>0</v>
      </c>
      <c r="X246" s="40" t="s">
        <v>30</v>
      </c>
      <c r="Z246" s="38"/>
      <c r="AA246" s="39"/>
    </row>
    <row r="247" spans="1:27" x14ac:dyDescent="0.25">
      <c r="A247" s="3" t="s">
        <v>513</v>
      </c>
      <c r="B247" s="2" t="s">
        <v>514</v>
      </c>
      <c r="C247" s="3">
        <v>35</v>
      </c>
      <c r="D247" s="33">
        <v>4464854</v>
      </c>
      <c r="E247" s="33">
        <v>1834665</v>
      </c>
      <c r="F247" s="33">
        <v>1649756</v>
      </c>
      <c r="G247" s="33">
        <v>980433</v>
      </c>
      <c r="H247" s="32">
        <v>2630189</v>
      </c>
      <c r="I247" s="33">
        <v>0</v>
      </c>
      <c r="J247" s="33">
        <v>1237317</v>
      </c>
      <c r="K247" s="33">
        <v>0</v>
      </c>
      <c r="L247" s="33">
        <v>665611</v>
      </c>
      <c r="M247" s="33">
        <v>0</v>
      </c>
      <c r="N247" s="34">
        <v>1902928</v>
      </c>
      <c r="O247" s="33">
        <v>459728</v>
      </c>
      <c r="P247" s="35">
        <v>45929</v>
      </c>
      <c r="Q247" s="33">
        <v>459728</v>
      </c>
      <c r="R247" s="35">
        <v>46020</v>
      </c>
      <c r="S247" s="33">
        <v>459728</v>
      </c>
      <c r="T247" s="35">
        <v>46112</v>
      </c>
      <c r="U247" s="33">
        <v>523744</v>
      </c>
      <c r="V247" s="36">
        <v>46195</v>
      </c>
      <c r="W247" s="6">
        <v>0</v>
      </c>
      <c r="X247" s="40" t="s">
        <v>30</v>
      </c>
      <c r="Z247" s="38"/>
      <c r="AA247" s="39"/>
    </row>
    <row r="248" spans="1:27" x14ac:dyDescent="0.25">
      <c r="A248" s="3" t="s">
        <v>515</v>
      </c>
      <c r="B248" s="2" t="s">
        <v>516</v>
      </c>
      <c r="C248" s="3">
        <v>4</v>
      </c>
      <c r="D248" s="33">
        <v>621082</v>
      </c>
      <c r="E248" s="33">
        <v>209676</v>
      </c>
      <c r="F248" s="33">
        <v>223200</v>
      </c>
      <c r="G248" s="33">
        <v>188206</v>
      </c>
      <c r="H248" s="32">
        <v>411406</v>
      </c>
      <c r="I248" s="33">
        <v>0</v>
      </c>
      <c r="J248" s="33">
        <v>167400</v>
      </c>
      <c r="K248" s="33">
        <v>0</v>
      </c>
      <c r="L248" s="33">
        <v>127772</v>
      </c>
      <c r="M248" s="33">
        <v>0</v>
      </c>
      <c r="N248" s="34">
        <v>295172</v>
      </c>
      <c r="O248" s="33">
        <v>70721</v>
      </c>
      <c r="P248" s="35">
        <v>45929</v>
      </c>
      <c r="Q248" s="33">
        <v>70721</v>
      </c>
      <c r="R248" s="35">
        <v>46020</v>
      </c>
      <c r="S248" s="33">
        <v>70721</v>
      </c>
      <c r="T248" s="35">
        <v>46112</v>
      </c>
      <c r="U248" s="33">
        <v>83009</v>
      </c>
      <c r="V248" s="36">
        <v>46195</v>
      </c>
      <c r="W248" s="6">
        <v>202342</v>
      </c>
      <c r="X248" s="40" t="s">
        <v>77</v>
      </c>
      <c r="Z248" s="38"/>
      <c r="AA248" s="39"/>
    </row>
    <row r="249" spans="1:27" x14ac:dyDescent="0.25">
      <c r="A249" s="3" t="s">
        <v>517</v>
      </c>
      <c r="B249" s="2" t="s">
        <v>518</v>
      </c>
      <c r="C249" s="3">
        <v>9</v>
      </c>
      <c r="D249" s="33">
        <v>1312007</v>
      </c>
      <c r="E249" s="33">
        <v>471771</v>
      </c>
      <c r="F249" s="33">
        <v>695761</v>
      </c>
      <c r="G249" s="33">
        <v>144475</v>
      </c>
      <c r="H249" s="32">
        <v>840236</v>
      </c>
      <c r="I249" s="33">
        <v>0</v>
      </c>
      <c r="J249" s="33">
        <v>521821</v>
      </c>
      <c r="K249" s="33">
        <v>0</v>
      </c>
      <c r="L249" s="33">
        <v>98083</v>
      </c>
      <c r="M249" s="33">
        <v>0</v>
      </c>
      <c r="N249" s="34">
        <v>619904</v>
      </c>
      <c r="O249" s="33">
        <v>152618</v>
      </c>
      <c r="P249" s="35">
        <v>45929</v>
      </c>
      <c r="Q249" s="33">
        <v>152618</v>
      </c>
      <c r="R249" s="35">
        <v>46020</v>
      </c>
      <c r="S249" s="33">
        <v>152618</v>
      </c>
      <c r="T249" s="35">
        <v>46112</v>
      </c>
      <c r="U249" s="33">
        <v>162050</v>
      </c>
      <c r="V249" s="36">
        <v>46195</v>
      </c>
      <c r="W249" s="6">
        <v>0</v>
      </c>
      <c r="X249" s="40" t="s">
        <v>30</v>
      </c>
      <c r="Z249" s="38"/>
      <c r="AA249" s="39"/>
    </row>
    <row r="250" spans="1:27" x14ac:dyDescent="0.25">
      <c r="A250" s="3" t="s">
        <v>519</v>
      </c>
      <c r="B250" s="2" t="s">
        <v>520</v>
      </c>
      <c r="C250" s="3">
        <v>42</v>
      </c>
      <c r="D250" s="33">
        <v>4979191</v>
      </c>
      <c r="E250" s="33">
        <v>2175389</v>
      </c>
      <c r="F250" s="33">
        <v>2493325</v>
      </c>
      <c r="G250" s="33">
        <v>310477</v>
      </c>
      <c r="H250" s="32">
        <v>2803802</v>
      </c>
      <c r="I250" s="33">
        <v>0</v>
      </c>
      <c r="J250" s="33">
        <v>1869994</v>
      </c>
      <c r="K250" s="33">
        <v>16755</v>
      </c>
      <c r="L250" s="33">
        <v>199406</v>
      </c>
      <c r="M250" s="33">
        <v>0</v>
      </c>
      <c r="N250" s="34">
        <v>2086155</v>
      </c>
      <c r="O250" s="33">
        <v>516744</v>
      </c>
      <c r="P250" s="35">
        <v>45929</v>
      </c>
      <c r="Q250" s="33">
        <v>516744</v>
      </c>
      <c r="R250" s="35">
        <v>46020</v>
      </c>
      <c r="S250" s="33">
        <v>516744</v>
      </c>
      <c r="T250" s="35">
        <v>46112</v>
      </c>
      <c r="U250" s="33">
        <v>535923</v>
      </c>
      <c r="V250" s="36">
        <v>46195</v>
      </c>
      <c r="W250" s="6">
        <v>0</v>
      </c>
      <c r="X250" s="40" t="s">
        <v>30</v>
      </c>
      <c r="Z250" s="38"/>
      <c r="AA250" s="39"/>
    </row>
    <row r="251" spans="1:27" x14ac:dyDescent="0.25">
      <c r="A251" s="3" t="s">
        <v>521</v>
      </c>
      <c r="B251" s="2" t="s">
        <v>522</v>
      </c>
      <c r="C251" s="3">
        <v>13</v>
      </c>
      <c r="D251" s="33">
        <v>1146039</v>
      </c>
      <c r="E251" s="33">
        <v>681447</v>
      </c>
      <c r="F251" s="33">
        <v>355357</v>
      </c>
      <c r="G251" s="33">
        <v>109235</v>
      </c>
      <c r="H251" s="32">
        <v>464592</v>
      </c>
      <c r="I251" s="33">
        <v>0</v>
      </c>
      <c r="J251" s="33">
        <v>266518</v>
      </c>
      <c r="K251" s="33">
        <v>11030</v>
      </c>
      <c r="L251" s="33">
        <v>66671</v>
      </c>
      <c r="M251" s="33">
        <v>0</v>
      </c>
      <c r="N251" s="34">
        <v>344219</v>
      </c>
      <c r="O251" s="33">
        <v>85972</v>
      </c>
      <c r="P251" s="35">
        <v>45929</v>
      </c>
      <c r="Q251" s="33">
        <v>85972</v>
      </c>
      <c r="R251" s="35">
        <v>46020</v>
      </c>
      <c r="S251" s="33">
        <v>82932</v>
      </c>
      <c r="T251" s="35">
        <v>46112</v>
      </c>
      <c r="U251" s="33">
        <v>89343</v>
      </c>
      <c r="V251" s="36">
        <v>46195</v>
      </c>
      <c r="W251" s="6">
        <v>0</v>
      </c>
      <c r="X251" s="40" t="s">
        <v>30</v>
      </c>
      <c r="Z251" s="38"/>
      <c r="AA251" s="39"/>
    </row>
    <row r="252" spans="1:27" x14ac:dyDescent="0.25">
      <c r="A252" s="3" t="s">
        <v>523</v>
      </c>
      <c r="B252" s="2" t="s">
        <v>524</v>
      </c>
      <c r="C252" s="3">
        <v>37</v>
      </c>
      <c r="D252" s="33">
        <v>5395051</v>
      </c>
      <c r="E252" s="33">
        <v>1913294</v>
      </c>
      <c r="F252" s="33">
        <v>2621196</v>
      </c>
      <c r="G252" s="33">
        <v>860561</v>
      </c>
      <c r="H252" s="32">
        <v>3481757</v>
      </c>
      <c r="I252" s="33">
        <v>0</v>
      </c>
      <c r="J252" s="33">
        <v>1965897</v>
      </c>
      <c r="K252" s="33">
        <v>0</v>
      </c>
      <c r="L252" s="33">
        <v>584230</v>
      </c>
      <c r="M252" s="33">
        <v>0</v>
      </c>
      <c r="N252" s="34">
        <v>2550127</v>
      </c>
      <c r="O252" s="33">
        <v>623484</v>
      </c>
      <c r="P252" s="35">
        <v>45929</v>
      </c>
      <c r="Q252" s="33">
        <v>623484</v>
      </c>
      <c r="R252" s="35">
        <v>46020</v>
      </c>
      <c r="S252" s="33">
        <v>623484</v>
      </c>
      <c r="T252" s="35">
        <v>46112</v>
      </c>
      <c r="U252" s="33">
        <v>679675</v>
      </c>
      <c r="V252" s="36">
        <v>46195</v>
      </c>
      <c r="W252" s="6">
        <v>0</v>
      </c>
      <c r="X252" s="40" t="s">
        <v>30</v>
      </c>
      <c r="Z252" s="38"/>
      <c r="AA252" s="39"/>
    </row>
    <row r="253" spans="1:27" x14ac:dyDescent="0.25">
      <c r="A253" s="3" t="s">
        <v>525</v>
      </c>
      <c r="B253" s="2" t="s">
        <v>526</v>
      </c>
      <c r="C253" s="3">
        <v>26</v>
      </c>
      <c r="D253" s="33">
        <v>3192777</v>
      </c>
      <c r="E253" s="33">
        <v>1336685</v>
      </c>
      <c r="F253" s="33">
        <v>1455551</v>
      </c>
      <c r="G253" s="33">
        <v>400542</v>
      </c>
      <c r="H253" s="32">
        <v>1856093</v>
      </c>
      <c r="I253" s="33">
        <v>0</v>
      </c>
      <c r="J253" s="33">
        <v>1091663</v>
      </c>
      <c r="K253" s="33">
        <v>0</v>
      </c>
      <c r="L253" s="33">
        <v>271926</v>
      </c>
      <c r="M253" s="33">
        <v>0</v>
      </c>
      <c r="N253" s="34">
        <v>1363589</v>
      </c>
      <c r="O253" s="33">
        <v>334359</v>
      </c>
      <c r="P253" s="35">
        <v>45929</v>
      </c>
      <c r="Q253" s="33">
        <v>334359</v>
      </c>
      <c r="R253" s="35">
        <v>46020</v>
      </c>
      <c r="S253" s="33">
        <v>334359</v>
      </c>
      <c r="T253" s="35">
        <v>46112</v>
      </c>
      <c r="U253" s="33">
        <v>360512</v>
      </c>
      <c r="V253" s="36">
        <v>46195</v>
      </c>
      <c r="W253" s="6">
        <v>0</v>
      </c>
      <c r="X253" s="40" t="s">
        <v>30</v>
      </c>
      <c r="Z253" s="38"/>
      <c r="AA253" s="39"/>
    </row>
    <row r="254" spans="1:27" x14ac:dyDescent="0.25">
      <c r="A254" s="3" t="s">
        <v>527</v>
      </c>
      <c r="B254" s="2" t="s">
        <v>528</v>
      </c>
      <c r="C254" s="3">
        <v>21</v>
      </c>
      <c r="D254" s="33">
        <v>2736655</v>
      </c>
      <c r="E254" s="33">
        <v>1100799</v>
      </c>
      <c r="F254" s="33">
        <v>988161</v>
      </c>
      <c r="G254" s="33">
        <v>647694</v>
      </c>
      <c r="H254" s="32">
        <v>1635855</v>
      </c>
      <c r="I254" s="33">
        <v>0</v>
      </c>
      <c r="J254" s="33">
        <v>741121</v>
      </c>
      <c r="K254" s="33">
        <v>0</v>
      </c>
      <c r="L254" s="33">
        <v>439716</v>
      </c>
      <c r="M254" s="33">
        <v>-1189</v>
      </c>
      <c r="N254" s="34">
        <v>1179648</v>
      </c>
      <c r="O254" s="33">
        <v>284339</v>
      </c>
      <c r="P254" s="35">
        <v>45929</v>
      </c>
      <c r="Q254" s="33">
        <v>284339</v>
      </c>
      <c r="R254" s="35">
        <v>46030</v>
      </c>
      <c r="S254" s="33">
        <v>284339</v>
      </c>
      <c r="T254" s="35">
        <v>46112</v>
      </c>
      <c r="U254" s="33">
        <v>326631</v>
      </c>
      <c r="V254" s="36">
        <v>46195</v>
      </c>
      <c r="W254" s="6">
        <v>0</v>
      </c>
      <c r="X254" s="40" t="s">
        <v>30</v>
      </c>
      <c r="Z254" s="38"/>
      <c r="AA254" s="39"/>
    </row>
    <row r="255" spans="1:27" x14ac:dyDescent="0.25">
      <c r="A255" s="3" t="s">
        <v>529</v>
      </c>
      <c r="B255" s="2" t="s">
        <v>530</v>
      </c>
      <c r="C255" s="3">
        <v>1</v>
      </c>
      <c r="D255" s="33">
        <v>200226</v>
      </c>
      <c r="E255" s="33">
        <v>52419</v>
      </c>
      <c r="F255" s="33">
        <v>42727</v>
      </c>
      <c r="G255" s="33">
        <v>105081</v>
      </c>
      <c r="H255" s="32">
        <v>147808</v>
      </c>
      <c r="I255" s="33">
        <v>0</v>
      </c>
      <c r="J255" s="33">
        <v>32045</v>
      </c>
      <c r="K255" s="33">
        <v>0</v>
      </c>
      <c r="L255" s="33">
        <v>71339</v>
      </c>
      <c r="M255" s="33">
        <v>0</v>
      </c>
      <c r="N255" s="34">
        <v>103384</v>
      </c>
      <c r="O255" s="33">
        <v>24131</v>
      </c>
      <c r="P255" s="35">
        <v>45929</v>
      </c>
      <c r="Q255" s="33">
        <v>24131</v>
      </c>
      <c r="R255" s="35">
        <v>46020</v>
      </c>
      <c r="S255" s="33">
        <v>24131</v>
      </c>
      <c r="T255" s="35">
        <v>46112</v>
      </c>
      <c r="U255" s="33">
        <v>30991</v>
      </c>
      <c r="V255" s="36">
        <v>46195</v>
      </c>
      <c r="W255" s="6">
        <v>0</v>
      </c>
      <c r="X255" s="40" t="s">
        <v>30</v>
      </c>
      <c r="Z255" s="38"/>
      <c r="AA255" s="39"/>
    </row>
    <row r="256" spans="1:27" x14ac:dyDescent="0.25">
      <c r="A256" s="3" t="s">
        <v>531</v>
      </c>
      <c r="B256" s="2" t="s">
        <v>532</v>
      </c>
      <c r="C256" s="3">
        <v>31</v>
      </c>
      <c r="D256" s="33">
        <v>4108956</v>
      </c>
      <c r="E256" s="33">
        <v>1624989</v>
      </c>
      <c r="F256" s="33">
        <v>1610110</v>
      </c>
      <c r="G256" s="33">
        <v>873858</v>
      </c>
      <c r="H256" s="32">
        <v>2483968</v>
      </c>
      <c r="I256" s="33">
        <v>0</v>
      </c>
      <c r="J256" s="33">
        <v>1207583</v>
      </c>
      <c r="K256" s="33">
        <v>0</v>
      </c>
      <c r="L256" s="33">
        <v>593258</v>
      </c>
      <c r="M256" s="33">
        <v>0</v>
      </c>
      <c r="N256" s="34">
        <v>1800841</v>
      </c>
      <c r="O256" s="33">
        <v>435945</v>
      </c>
      <c r="P256" s="35">
        <v>45929</v>
      </c>
      <c r="Q256" s="33">
        <v>435945</v>
      </c>
      <c r="R256" s="35">
        <v>46020</v>
      </c>
      <c r="S256" s="33">
        <v>435945</v>
      </c>
      <c r="T256" s="35">
        <v>46112</v>
      </c>
      <c r="U256" s="33">
        <v>493006</v>
      </c>
      <c r="V256" s="36">
        <v>46195</v>
      </c>
      <c r="W256" s="6">
        <v>0</v>
      </c>
      <c r="X256" s="40" t="s">
        <v>30</v>
      </c>
      <c r="Z256" s="38"/>
      <c r="AA256" s="39"/>
    </row>
    <row r="257" spans="1:27" x14ac:dyDescent="0.25">
      <c r="A257" s="3" t="s">
        <v>533</v>
      </c>
      <c r="B257" s="2" t="s">
        <v>534</v>
      </c>
      <c r="C257" s="3">
        <v>40</v>
      </c>
      <c r="D257" s="33">
        <v>6132789</v>
      </c>
      <c r="E257" s="33">
        <v>2070551</v>
      </c>
      <c r="F257" s="33">
        <v>3013374</v>
      </c>
      <c r="G257" s="33">
        <v>1048864</v>
      </c>
      <c r="H257" s="32">
        <v>4062238</v>
      </c>
      <c r="I257" s="33">
        <v>0</v>
      </c>
      <c r="J257" s="33">
        <v>2260031</v>
      </c>
      <c r="K257" s="33">
        <v>0</v>
      </c>
      <c r="L257" s="33">
        <v>712068</v>
      </c>
      <c r="M257" s="33">
        <v>0</v>
      </c>
      <c r="N257" s="34">
        <v>2972099</v>
      </c>
      <c r="O257" s="33">
        <v>725904</v>
      </c>
      <c r="P257" s="35">
        <v>45929</v>
      </c>
      <c r="Q257" s="33">
        <v>725904</v>
      </c>
      <c r="R257" s="35">
        <v>46020</v>
      </c>
      <c r="S257" s="33">
        <v>725904</v>
      </c>
      <c r="T257" s="35">
        <v>46112</v>
      </c>
      <c r="U257" s="33">
        <v>794387</v>
      </c>
      <c r="V257" s="36">
        <v>46195</v>
      </c>
      <c r="W257" s="6">
        <v>0</v>
      </c>
      <c r="X257" s="40" t="s">
        <v>30</v>
      </c>
      <c r="Z257" s="38"/>
      <c r="AA257" s="39"/>
    </row>
    <row r="258" spans="1:27" x14ac:dyDescent="0.25">
      <c r="A258" s="3" t="s">
        <v>535</v>
      </c>
      <c r="B258" s="2" t="s">
        <v>536</v>
      </c>
      <c r="C258" s="3">
        <v>16</v>
      </c>
      <c r="D258" s="33">
        <v>2713474</v>
      </c>
      <c r="E258" s="33">
        <v>838704</v>
      </c>
      <c r="F258" s="33">
        <v>1355121</v>
      </c>
      <c r="G258" s="33">
        <v>519649</v>
      </c>
      <c r="H258" s="32">
        <v>1874770</v>
      </c>
      <c r="I258" s="33">
        <v>0</v>
      </c>
      <c r="J258" s="33">
        <v>1016341</v>
      </c>
      <c r="K258" s="33">
        <v>0</v>
      </c>
      <c r="L258" s="33">
        <v>352787</v>
      </c>
      <c r="M258" s="33">
        <v>0</v>
      </c>
      <c r="N258" s="34">
        <v>1369128</v>
      </c>
      <c r="O258" s="33">
        <v>333799</v>
      </c>
      <c r="P258" s="35">
        <v>45929</v>
      </c>
      <c r="Q258" s="33">
        <v>333799</v>
      </c>
      <c r="R258" s="35">
        <v>46020</v>
      </c>
      <c r="S258" s="33">
        <v>333799</v>
      </c>
      <c r="T258" s="35">
        <v>46112</v>
      </c>
      <c r="U258" s="33">
        <v>367731</v>
      </c>
      <c r="V258" s="36">
        <v>46195</v>
      </c>
      <c r="W258" s="6">
        <v>0</v>
      </c>
      <c r="X258" s="40" t="s">
        <v>30</v>
      </c>
      <c r="Z258" s="38"/>
      <c r="AA258" s="39"/>
    </row>
    <row r="259" spans="1:27" x14ac:dyDescent="0.25">
      <c r="A259" s="3" t="s">
        <v>537</v>
      </c>
      <c r="B259" s="2" t="s">
        <v>538</v>
      </c>
      <c r="C259" s="3">
        <v>11</v>
      </c>
      <c r="D259" s="33">
        <v>2402011</v>
      </c>
      <c r="E259" s="33">
        <v>576609</v>
      </c>
      <c r="F259" s="33">
        <v>1789676</v>
      </c>
      <c r="G259" s="33">
        <v>35726</v>
      </c>
      <c r="H259" s="32">
        <v>1825402</v>
      </c>
      <c r="I259" s="33">
        <v>0</v>
      </c>
      <c r="J259" s="33">
        <v>1342257</v>
      </c>
      <c r="K259" s="33">
        <v>0</v>
      </c>
      <c r="L259" s="33">
        <v>24254</v>
      </c>
      <c r="M259" s="33">
        <v>0</v>
      </c>
      <c r="N259" s="34">
        <v>1366511</v>
      </c>
      <c r="O259" s="33">
        <v>348353</v>
      </c>
      <c r="P259" s="35">
        <v>45929</v>
      </c>
      <c r="Q259" s="33">
        <v>348353</v>
      </c>
      <c r="R259" s="35">
        <v>46020</v>
      </c>
      <c r="S259" s="33">
        <v>333736</v>
      </c>
      <c r="T259" s="35">
        <v>46112</v>
      </c>
      <c r="U259" s="33">
        <v>336069</v>
      </c>
      <c r="V259" s="36">
        <v>46195</v>
      </c>
      <c r="W259" s="6">
        <v>0</v>
      </c>
      <c r="X259" s="40" t="s">
        <v>30</v>
      </c>
      <c r="Z259" s="38"/>
      <c r="AA259" s="39"/>
    </row>
    <row r="260" spans="1:27" x14ac:dyDescent="0.25">
      <c r="A260" s="3" t="s">
        <v>539</v>
      </c>
      <c r="B260" s="2" t="s">
        <v>540</v>
      </c>
      <c r="C260" s="3">
        <v>55</v>
      </c>
      <c r="D260" s="33">
        <v>5910944</v>
      </c>
      <c r="E260" s="33">
        <v>2883045</v>
      </c>
      <c r="F260" s="33">
        <v>2202037</v>
      </c>
      <c r="G260" s="33">
        <v>825862</v>
      </c>
      <c r="H260" s="32">
        <v>3027899</v>
      </c>
      <c r="I260" s="33">
        <v>0</v>
      </c>
      <c r="J260" s="33">
        <v>1651528</v>
      </c>
      <c r="K260" s="33">
        <v>0</v>
      </c>
      <c r="L260" s="33">
        <v>560673</v>
      </c>
      <c r="M260" s="33">
        <v>0</v>
      </c>
      <c r="N260" s="34">
        <v>2212201</v>
      </c>
      <c r="O260" s="33">
        <v>539569</v>
      </c>
      <c r="P260" s="35">
        <v>45929</v>
      </c>
      <c r="Q260" s="33">
        <v>539569</v>
      </c>
      <c r="R260" s="35">
        <v>46020</v>
      </c>
      <c r="S260" s="33">
        <v>539569</v>
      </c>
      <c r="T260" s="35">
        <v>46112</v>
      </c>
      <c r="U260" s="33">
        <v>593494</v>
      </c>
      <c r="V260" s="36">
        <v>46195</v>
      </c>
      <c r="W260" s="6">
        <v>0</v>
      </c>
      <c r="X260" s="40" t="s">
        <v>30</v>
      </c>
      <c r="Z260" s="38"/>
      <c r="AA260" s="39"/>
    </row>
    <row r="261" spans="1:27" x14ac:dyDescent="0.25">
      <c r="A261" s="3" t="s">
        <v>541</v>
      </c>
      <c r="B261" s="2" t="s">
        <v>542</v>
      </c>
      <c r="C261" s="3">
        <v>16</v>
      </c>
      <c r="D261" s="33">
        <v>2904732</v>
      </c>
      <c r="E261" s="33">
        <v>838704</v>
      </c>
      <c r="F261" s="33">
        <v>1376737</v>
      </c>
      <c r="G261" s="33">
        <v>689291</v>
      </c>
      <c r="H261" s="32">
        <v>2066028</v>
      </c>
      <c r="I261" s="33">
        <v>0</v>
      </c>
      <c r="J261" s="33">
        <v>1032553</v>
      </c>
      <c r="K261" s="33">
        <v>0</v>
      </c>
      <c r="L261" s="33">
        <v>467956</v>
      </c>
      <c r="M261" s="33">
        <v>0</v>
      </c>
      <c r="N261" s="34">
        <v>1500509</v>
      </c>
      <c r="O261" s="33">
        <v>363876</v>
      </c>
      <c r="P261" s="35">
        <v>45929</v>
      </c>
      <c r="Q261" s="33">
        <v>363876</v>
      </c>
      <c r="R261" s="35">
        <v>46020</v>
      </c>
      <c r="S261" s="33">
        <v>363876</v>
      </c>
      <c r="T261" s="35">
        <v>46112</v>
      </c>
      <c r="U261" s="33">
        <v>408881</v>
      </c>
      <c r="V261" s="36">
        <v>46195</v>
      </c>
      <c r="W261" s="6">
        <v>0</v>
      </c>
      <c r="X261" s="40" t="s">
        <v>30</v>
      </c>
      <c r="Z261" s="38"/>
      <c r="AA261" s="39"/>
    </row>
    <row r="262" spans="1:27" x14ac:dyDescent="0.25">
      <c r="A262" s="3" t="s">
        <v>543</v>
      </c>
      <c r="B262" s="2" t="s">
        <v>544</v>
      </c>
      <c r="C262" s="3">
        <v>21</v>
      </c>
      <c r="D262" s="33">
        <v>2600362</v>
      </c>
      <c r="E262" s="33">
        <v>1100799</v>
      </c>
      <c r="F262" s="33">
        <v>1137455</v>
      </c>
      <c r="G262" s="33">
        <v>362108</v>
      </c>
      <c r="H262" s="32">
        <v>1499563</v>
      </c>
      <c r="I262" s="33">
        <v>0</v>
      </c>
      <c r="J262" s="33">
        <v>853091</v>
      </c>
      <c r="K262" s="33">
        <v>0</v>
      </c>
      <c r="L262" s="33">
        <v>245833</v>
      </c>
      <c r="M262" s="33">
        <v>-7516</v>
      </c>
      <c r="N262" s="34">
        <v>1091408</v>
      </c>
      <c r="O262" s="33">
        <v>266941</v>
      </c>
      <c r="P262" s="35">
        <v>45929</v>
      </c>
      <c r="Q262" s="33">
        <v>266941</v>
      </c>
      <c r="R262" s="35">
        <v>46020</v>
      </c>
      <c r="S262" s="33">
        <v>266941</v>
      </c>
      <c r="T262" s="35">
        <v>46112</v>
      </c>
      <c r="U262" s="33">
        <v>290585</v>
      </c>
      <c r="V262" s="36">
        <v>46195</v>
      </c>
      <c r="W262" s="6">
        <v>293738</v>
      </c>
      <c r="X262" s="40" t="s">
        <v>77</v>
      </c>
      <c r="Z262" s="38"/>
      <c r="AA262" s="39"/>
    </row>
    <row r="263" spans="1:27" x14ac:dyDescent="0.25">
      <c r="A263" s="3" t="s">
        <v>545</v>
      </c>
      <c r="B263" s="2" t="s">
        <v>546</v>
      </c>
      <c r="C263" s="3">
        <v>6</v>
      </c>
      <c r="D263" s="33">
        <v>682239</v>
      </c>
      <c r="E263" s="33">
        <v>314514</v>
      </c>
      <c r="F263" s="33">
        <v>266819</v>
      </c>
      <c r="G263" s="33">
        <v>100906</v>
      </c>
      <c r="H263" s="32">
        <v>367725</v>
      </c>
      <c r="I263" s="33">
        <v>0</v>
      </c>
      <c r="J263" s="33">
        <v>200114</v>
      </c>
      <c r="K263" s="33">
        <v>0</v>
      </c>
      <c r="L263" s="33">
        <v>68505</v>
      </c>
      <c r="M263" s="33">
        <v>0</v>
      </c>
      <c r="N263" s="34">
        <v>268619</v>
      </c>
      <c r="O263" s="33">
        <v>66253</v>
      </c>
      <c r="P263" s="35">
        <v>45929</v>
      </c>
      <c r="Q263" s="33">
        <v>66253</v>
      </c>
      <c r="R263" s="35">
        <v>46020</v>
      </c>
      <c r="S263" s="33">
        <v>64762</v>
      </c>
      <c r="T263" s="35">
        <v>46112</v>
      </c>
      <c r="U263" s="33">
        <v>71351</v>
      </c>
      <c r="V263" s="36">
        <v>46195</v>
      </c>
      <c r="W263" s="6">
        <v>0</v>
      </c>
      <c r="X263" s="40" t="s">
        <v>30</v>
      </c>
      <c r="Z263" s="38"/>
      <c r="AA263" s="39"/>
    </row>
    <row r="264" spans="1:27" x14ac:dyDescent="0.25">
      <c r="A264" s="3" t="s">
        <v>547</v>
      </c>
      <c r="B264" s="2" t="s">
        <v>548</v>
      </c>
      <c r="C264" s="3">
        <v>10</v>
      </c>
      <c r="D264" s="33">
        <v>1453204</v>
      </c>
      <c r="E264" s="33">
        <v>497981</v>
      </c>
      <c r="F264" s="33">
        <v>662000</v>
      </c>
      <c r="G264" s="33">
        <v>293224</v>
      </c>
      <c r="H264" s="32">
        <v>955224</v>
      </c>
      <c r="I264" s="33">
        <v>0</v>
      </c>
      <c r="J264" s="33">
        <v>496500</v>
      </c>
      <c r="K264" s="33">
        <v>0</v>
      </c>
      <c r="L264" s="33">
        <v>199068</v>
      </c>
      <c r="M264" s="33">
        <v>0</v>
      </c>
      <c r="N264" s="34">
        <v>695568</v>
      </c>
      <c r="O264" s="33">
        <v>169106</v>
      </c>
      <c r="P264" s="35">
        <v>45929</v>
      </c>
      <c r="Q264" s="33">
        <v>169106</v>
      </c>
      <c r="R264" s="35">
        <v>46020</v>
      </c>
      <c r="S264" s="33">
        <v>169106</v>
      </c>
      <c r="T264" s="35">
        <v>46112</v>
      </c>
      <c r="U264" s="33">
        <v>188250</v>
      </c>
      <c r="V264" s="36">
        <v>46195</v>
      </c>
      <c r="W264" s="6">
        <v>0</v>
      </c>
      <c r="X264" s="40" t="s">
        <v>30</v>
      </c>
      <c r="Z264" s="38"/>
      <c r="AA264" s="39"/>
    </row>
    <row r="265" spans="1:27" x14ac:dyDescent="0.25">
      <c r="A265" s="3" t="s">
        <v>549</v>
      </c>
      <c r="B265" s="2" t="s">
        <v>550</v>
      </c>
      <c r="C265" s="3">
        <v>11</v>
      </c>
      <c r="D265" s="33">
        <v>1286740</v>
      </c>
      <c r="E265" s="33">
        <v>576609</v>
      </c>
      <c r="F265" s="33">
        <v>508205</v>
      </c>
      <c r="G265" s="33">
        <v>201926</v>
      </c>
      <c r="H265" s="32">
        <v>710131</v>
      </c>
      <c r="I265" s="33">
        <v>0</v>
      </c>
      <c r="J265" s="33">
        <v>381154</v>
      </c>
      <c r="K265" s="33">
        <v>0</v>
      </c>
      <c r="L265" s="33">
        <v>137086</v>
      </c>
      <c r="M265" s="33">
        <v>0</v>
      </c>
      <c r="N265" s="34">
        <v>518240</v>
      </c>
      <c r="O265" s="33">
        <v>129649</v>
      </c>
      <c r="P265" s="35">
        <v>45929</v>
      </c>
      <c r="Q265" s="33">
        <v>129649</v>
      </c>
      <c r="R265" s="35">
        <v>46020</v>
      </c>
      <c r="S265" s="33">
        <v>122879</v>
      </c>
      <c r="T265" s="35">
        <v>46112</v>
      </c>
      <c r="U265" s="33">
        <v>136063</v>
      </c>
      <c r="V265" s="36">
        <v>46195</v>
      </c>
      <c r="W265" s="6">
        <v>0</v>
      </c>
      <c r="X265" s="40" t="s">
        <v>30</v>
      </c>
      <c r="Z265" s="38"/>
      <c r="AA265" s="39"/>
    </row>
    <row r="266" spans="1:27" x14ac:dyDescent="0.25">
      <c r="A266" s="3" t="s">
        <v>551</v>
      </c>
      <c r="B266" s="2" t="s">
        <v>552</v>
      </c>
      <c r="C266" s="3">
        <v>29</v>
      </c>
      <c r="D266" s="33">
        <v>5083794</v>
      </c>
      <c r="E266" s="33">
        <v>1520151</v>
      </c>
      <c r="F266" s="33">
        <v>2492948</v>
      </c>
      <c r="G266" s="33">
        <v>1070695</v>
      </c>
      <c r="H266" s="32">
        <v>3563643</v>
      </c>
      <c r="I266" s="33">
        <v>0</v>
      </c>
      <c r="J266" s="33">
        <v>1869711</v>
      </c>
      <c r="K266" s="33">
        <v>0</v>
      </c>
      <c r="L266" s="33">
        <v>726889</v>
      </c>
      <c r="M266" s="33">
        <v>0</v>
      </c>
      <c r="N266" s="34">
        <v>2596600</v>
      </c>
      <c r="O266" s="33">
        <v>620714</v>
      </c>
      <c r="P266" s="35">
        <v>45929</v>
      </c>
      <c r="Q266" s="33">
        <v>620714</v>
      </c>
      <c r="R266" s="35">
        <v>46020</v>
      </c>
      <c r="S266" s="33">
        <v>620714</v>
      </c>
      <c r="T266" s="35">
        <v>46112</v>
      </c>
      <c r="U266" s="33">
        <v>734458</v>
      </c>
      <c r="V266" s="36">
        <v>46195</v>
      </c>
      <c r="W266" s="6">
        <v>0</v>
      </c>
      <c r="X266" s="40" t="s">
        <v>30</v>
      </c>
      <c r="Z266" s="38"/>
      <c r="AA266" s="39"/>
    </row>
    <row r="267" spans="1:27" x14ac:dyDescent="0.25">
      <c r="A267" s="3" t="s">
        <v>553</v>
      </c>
      <c r="B267" s="2" t="s">
        <v>554</v>
      </c>
      <c r="C267" s="3">
        <v>1</v>
      </c>
      <c r="D267" s="33">
        <v>76253</v>
      </c>
      <c r="E267" s="33">
        <v>52419</v>
      </c>
      <c r="F267" s="33">
        <v>0</v>
      </c>
      <c r="G267" s="33">
        <v>23834</v>
      </c>
      <c r="H267" s="32">
        <v>23834</v>
      </c>
      <c r="I267" s="33">
        <v>0</v>
      </c>
      <c r="J267" s="33">
        <v>0</v>
      </c>
      <c r="K267" s="33">
        <v>0</v>
      </c>
      <c r="L267" s="33">
        <v>16181</v>
      </c>
      <c r="M267" s="33">
        <v>0</v>
      </c>
      <c r="N267" s="34">
        <v>16181</v>
      </c>
      <c r="O267" s="33">
        <v>3656</v>
      </c>
      <c r="P267" s="35">
        <v>45929</v>
      </c>
      <c r="Q267" s="33">
        <v>3656</v>
      </c>
      <c r="R267" s="35">
        <v>46020</v>
      </c>
      <c r="S267" s="33">
        <v>3656</v>
      </c>
      <c r="T267" s="35">
        <v>46112</v>
      </c>
      <c r="U267" s="33">
        <v>5213</v>
      </c>
      <c r="V267" s="36">
        <v>46195</v>
      </c>
      <c r="W267" s="6">
        <v>21986</v>
      </c>
      <c r="X267" s="40" t="s">
        <v>77</v>
      </c>
      <c r="Z267" s="38"/>
      <c r="AA267" s="39"/>
    </row>
    <row r="268" spans="1:27" ht="31.5" x14ac:dyDescent="0.25">
      <c r="A268" s="3" t="s">
        <v>555</v>
      </c>
      <c r="B268" s="2" t="s">
        <v>556</v>
      </c>
      <c r="C268" s="3">
        <v>22</v>
      </c>
      <c r="D268" s="33">
        <v>2082788</v>
      </c>
      <c r="E268" s="33">
        <v>1127009</v>
      </c>
      <c r="F268" s="33">
        <v>863109</v>
      </c>
      <c r="G268" s="33">
        <v>92671</v>
      </c>
      <c r="H268" s="32">
        <v>955780</v>
      </c>
      <c r="I268" s="33">
        <v>19728</v>
      </c>
      <c r="J268" s="33">
        <v>632536</v>
      </c>
      <c r="K268" s="33">
        <v>0</v>
      </c>
      <c r="L268" s="33">
        <v>62914</v>
      </c>
      <c r="M268" s="33">
        <v>0</v>
      </c>
      <c r="N268" s="34">
        <v>715178</v>
      </c>
      <c r="O268" s="33">
        <v>176319</v>
      </c>
      <c r="P268" s="35">
        <v>45929</v>
      </c>
      <c r="Q268" s="33">
        <v>176319</v>
      </c>
      <c r="R268" s="35">
        <v>46020</v>
      </c>
      <c r="S268" s="33">
        <v>176319</v>
      </c>
      <c r="T268" s="35">
        <v>46112</v>
      </c>
      <c r="U268" s="33">
        <v>186221</v>
      </c>
      <c r="V268" s="36">
        <v>46195</v>
      </c>
      <c r="W268" s="6">
        <v>411669</v>
      </c>
      <c r="X268" s="40" t="s">
        <v>430</v>
      </c>
      <c r="Z268" s="38"/>
      <c r="AA268" s="39"/>
    </row>
    <row r="269" spans="1:27" x14ac:dyDescent="0.25">
      <c r="A269" s="3" t="s">
        <v>557</v>
      </c>
      <c r="B269" s="2" t="s">
        <v>558</v>
      </c>
      <c r="C269" s="3">
        <v>59</v>
      </c>
      <c r="D269" s="33">
        <v>8079096</v>
      </c>
      <c r="E269" s="33">
        <v>3066512</v>
      </c>
      <c r="F269" s="33">
        <v>3706220</v>
      </c>
      <c r="G269" s="33">
        <v>1306364</v>
      </c>
      <c r="H269" s="32">
        <v>5012584</v>
      </c>
      <c r="I269" s="33">
        <v>0</v>
      </c>
      <c r="J269" s="33">
        <v>2779665</v>
      </c>
      <c r="K269" s="33">
        <v>0</v>
      </c>
      <c r="L269" s="33">
        <v>886884</v>
      </c>
      <c r="M269" s="33">
        <v>-55628</v>
      </c>
      <c r="N269" s="34">
        <v>3610921</v>
      </c>
      <c r="O269" s="33">
        <v>885625</v>
      </c>
      <c r="P269" s="35">
        <v>45929</v>
      </c>
      <c r="Q269" s="33">
        <v>885625</v>
      </c>
      <c r="R269" s="35">
        <v>46020</v>
      </c>
      <c r="S269" s="33">
        <v>885625</v>
      </c>
      <c r="T269" s="35">
        <v>46112</v>
      </c>
      <c r="U269" s="33">
        <v>954046</v>
      </c>
      <c r="V269" s="36">
        <v>46195</v>
      </c>
      <c r="W269" s="6">
        <v>0</v>
      </c>
      <c r="X269" s="40" t="s">
        <v>30</v>
      </c>
      <c r="Z269" s="38"/>
      <c r="AA269" s="39"/>
    </row>
    <row r="270" spans="1:27" x14ac:dyDescent="0.25">
      <c r="A270" s="3" t="s">
        <v>559</v>
      </c>
      <c r="B270" s="2" t="s">
        <v>560</v>
      </c>
      <c r="C270" s="3">
        <v>2</v>
      </c>
      <c r="D270" s="33">
        <v>172046</v>
      </c>
      <c r="E270" s="33">
        <v>104838</v>
      </c>
      <c r="F270" s="33">
        <v>67208</v>
      </c>
      <c r="G270" s="33">
        <v>0</v>
      </c>
      <c r="H270" s="32">
        <v>67208</v>
      </c>
      <c r="I270" s="33">
        <v>0</v>
      </c>
      <c r="J270" s="33">
        <v>50406</v>
      </c>
      <c r="K270" s="33">
        <v>0</v>
      </c>
      <c r="L270" s="33">
        <v>0</v>
      </c>
      <c r="M270" s="33">
        <v>0</v>
      </c>
      <c r="N270" s="34">
        <v>50406</v>
      </c>
      <c r="O270" s="33">
        <v>12602</v>
      </c>
      <c r="P270" s="35">
        <v>45929</v>
      </c>
      <c r="Q270" s="33">
        <v>12602</v>
      </c>
      <c r="R270" s="35">
        <v>46020</v>
      </c>
      <c r="S270" s="33">
        <v>12602</v>
      </c>
      <c r="T270" s="35">
        <v>46112</v>
      </c>
      <c r="U270" s="33">
        <v>12600</v>
      </c>
      <c r="V270" s="36">
        <v>46195</v>
      </c>
      <c r="W270" s="6">
        <v>0</v>
      </c>
      <c r="X270" s="40" t="s">
        <v>30</v>
      </c>
      <c r="Z270" s="38"/>
      <c r="AA270" s="39"/>
    </row>
    <row r="271" spans="1:27" x14ac:dyDescent="0.25">
      <c r="A271" s="3" t="s">
        <v>561</v>
      </c>
      <c r="B271" s="2" t="s">
        <v>562</v>
      </c>
      <c r="C271" s="3">
        <v>35</v>
      </c>
      <c r="D271" s="33">
        <v>4960415</v>
      </c>
      <c r="E271" s="33">
        <v>1834665</v>
      </c>
      <c r="F271" s="33">
        <v>2186406</v>
      </c>
      <c r="G271" s="33">
        <v>939344</v>
      </c>
      <c r="H271" s="32">
        <v>3125750</v>
      </c>
      <c r="I271" s="33">
        <v>0</v>
      </c>
      <c r="J271" s="33">
        <v>1639805</v>
      </c>
      <c r="K271" s="33">
        <v>0</v>
      </c>
      <c r="L271" s="33">
        <v>637716</v>
      </c>
      <c r="M271" s="33">
        <v>0</v>
      </c>
      <c r="N271" s="34">
        <v>2277521</v>
      </c>
      <c r="O271" s="33">
        <v>554047</v>
      </c>
      <c r="P271" s="35">
        <v>45929</v>
      </c>
      <c r="Q271" s="33">
        <v>554047</v>
      </c>
      <c r="R271" s="35">
        <v>46020</v>
      </c>
      <c r="S271" s="33">
        <v>554047</v>
      </c>
      <c r="T271" s="35">
        <v>46112</v>
      </c>
      <c r="U271" s="33">
        <v>615380</v>
      </c>
      <c r="V271" s="36">
        <v>46195</v>
      </c>
      <c r="W271" s="6">
        <v>0</v>
      </c>
      <c r="X271" s="40" t="s">
        <v>30</v>
      </c>
      <c r="Z271" s="38"/>
      <c r="AA271" s="39"/>
    </row>
    <row r="272" spans="1:27" x14ac:dyDescent="0.25">
      <c r="A272" s="3" t="s">
        <v>563</v>
      </c>
      <c r="B272" s="2" t="s">
        <v>564</v>
      </c>
      <c r="C272" s="3">
        <v>4</v>
      </c>
      <c r="D272" s="33">
        <v>621876</v>
      </c>
      <c r="E272" s="33">
        <v>209676</v>
      </c>
      <c r="F272" s="33">
        <v>198829</v>
      </c>
      <c r="G272" s="33">
        <v>213371</v>
      </c>
      <c r="H272" s="32">
        <v>412200</v>
      </c>
      <c r="I272" s="33">
        <v>17959</v>
      </c>
      <c r="J272" s="33">
        <v>135653</v>
      </c>
      <c r="K272" s="33">
        <v>48589</v>
      </c>
      <c r="L272" s="33">
        <v>111870</v>
      </c>
      <c r="M272" s="33">
        <v>0</v>
      </c>
      <c r="N272" s="34">
        <v>314071</v>
      </c>
      <c r="O272" s="33">
        <v>75828</v>
      </c>
      <c r="P272" s="35">
        <v>45929</v>
      </c>
      <c r="Q272" s="33">
        <v>75828</v>
      </c>
      <c r="R272" s="35">
        <v>46020</v>
      </c>
      <c r="S272" s="33">
        <v>75828</v>
      </c>
      <c r="T272" s="35">
        <v>46112</v>
      </c>
      <c r="U272" s="33">
        <v>86587</v>
      </c>
      <c r="V272" s="36">
        <v>46195</v>
      </c>
      <c r="W272" s="6">
        <v>0</v>
      </c>
      <c r="X272" s="40" t="s">
        <v>30</v>
      </c>
      <c r="Z272" s="38"/>
      <c r="AA272" s="39"/>
    </row>
    <row r="273" spans="1:27" x14ac:dyDescent="0.25">
      <c r="A273" s="3" t="s">
        <v>565</v>
      </c>
      <c r="B273" s="2" t="s">
        <v>566</v>
      </c>
      <c r="C273" s="3">
        <v>18</v>
      </c>
      <c r="D273" s="33">
        <v>2325578</v>
      </c>
      <c r="E273" s="33">
        <v>917333</v>
      </c>
      <c r="F273" s="33">
        <v>1036167</v>
      </c>
      <c r="G273" s="33">
        <v>372078</v>
      </c>
      <c r="H273" s="32">
        <v>1408245</v>
      </c>
      <c r="I273" s="33">
        <v>0</v>
      </c>
      <c r="J273" s="33">
        <v>777125</v>
      </c>
      <c r="K273" s="33">
        <v>23938</v>
      </c>
      <c r="L273" s="33">
        <v>236350</v>
      </c>
      <c r="M273" s="33">
        <v>0</v>
      </c>
      <c r="N273" s="34">
        <v>1037413</v>
      </c>
      <c r="O273" s="33">
        <v>253671</v>
      </c>
      <c r="P273" s="35">
        <v>45929</v>
      </c>
      <c r="Q273" s="33">
        <v>253671</v>
      </c>
      <c r="R273" s="35">
        <v>46020</v>
      </c>
      <c r="S273" s="33">
        <v>253671</v>
      </c>
      <c r="T273" s="35">
        <v>46112</v>
      </c>
      <c r="U273" s="33">
        <v>276400</v>
      </c>
      <c r="V273" s="36">
        <v>46195</v>
      </c>
      <c r="W273" s="6">
        <v>0</v>
      </c>
      <c r="X273" s="40" t="s">
        <v>30</v>
      </c>
      <c r="Z273" s="38"/>
      <c r="AA273" s="39"/>
    </row>
    <row r="274" spans="1:27" x14ac:dyDescent="0.25">
      <c r="A274" s="3" t="s">
        <v>567</v>
      </c>
      <c r="B274" s="2" t="s">
        <v>568</v>
      </c>
      <c r="C274" s="3">
        <v>12</v>
      </c>
      <c r="D274" s="33">
        <v>1655465</v>
      </c>
      <c r="E274" s="33">
        <v>629028</v>
      </c>
      <c r="F274" s="33">
        <v>793511</v>
      </c>
      <c r="G274" s="33">
        <v>232927</v>
      </c>
      <c r="H274" s="32">
        <v>1026438</v>
      </c>
      <c r="I274" s="33">
        <v>0</v>
      </c>
      <c r="J274" s="33">
        <v>595133</v>
      </c>
      <c r="K274" s="33">
        <v>0</v>
      </c>
      <c r="L274" s="33">
        <v>158133</v>
      </c>
      <c r="M274" s="33">
        <v>0</v>
      </c>
      <c r="N274" s="34">
        <v>753266</v>
      </c>
      <c r="O274" s="33">
        <v>184514</v>
      </c>
      <c r="P274" s="35">
        <v>45929</v>
      </c>
      <c r="Q274" s="33">
        <v>184514</v>
      </c>
      <c r="R274" s="35">
        <v>46020</v>
      </c>
      <c r="S274" s="33">
        <v>184514</v>
      </c>
      <c r="T274" s="35">
        <v>46112</v>
      </c>
      <c r="U274" s="33">
        <v>199724</v>
      </c>
      <c r="V274" s="36">
        <v>46195</v>
      </c>
      <c r="W274" s="6">
        <v>0</v>
      </c>
      <c r="X274" s="40" t="s">
        <v>30</v>
      </c>
      <c r="Z274" s="38"/>
      <c r="AA274" s="39"/>
    </row>
    <row r="275" spans="1:27" x14ac:dyDescent="0.25">
      <c r="A275" s="3" t="s">
        <v>569</v>
      </c>
      <c r="B275" s="2" t="s">
        <v>570</v>
      </c>
      <c r="C275" s="3">
        <v>37</v>
      </c>
      <c r="D275" s="33">
        <v>5363640</v>
      </c>
      <c r="E275" s="33">
        <v>1939503</v>
      </c>
      <c r="F275" s="33">
        <v>2400139</v>
      </c>
      <c r="G275" s="33">
        <v>1023999</v>
      </c>
      <c r="H275" s="32">
        <v>3424138</v>
      </c>
      <c r="I275" s="33">
        <v>34013</v>
      </c>
      <c r="J275" s="33">
        <v>1774595</v>
      </c>
      <c r="K275" s="33">
        <v>24360</v>
      </c>
      <c r="L275" s="33">
        <v>678650</v>
      </c>
      <c r="M275" s="33">
        <v>0</v>
      </c>
      <c r="N275" s="34">
        <v>2511618</v>
      </c>
      <c r="O275" s="33">
        <v>611586</v>
      </c>
      <c r="P275" s="35">
        <v>45929</v>
      </c>
      <c r="Q275" s="33">
        <v>611586</v>
      </c>
      <c r="R275" s="35">
        <v>46030</v>
      </c>
      <c r="S275" s="33">
        <v>611586</v>
      </c>
      <c r="T275" s="35">
        <v>46112</v>
      </c>
      <c r="U275" s="33">
        <v>676860</v>
      </c>
      <c r="V275" s="36">
        <v>46195</v>
      </c>
      <c r="W275" s="6">
        <v>0</v>
      </c>
      <c r="X275" s="40" t="s">
        <v>30</v>
      </c>
      <c r="Z275" s="38"/>
      <c r="AA275" s="39"/>
    </row>
    <row r="276" spans="1:27" x14ac:dyDescent="0.25">
      <c r="A276" s="3" t="s">
        <v>571</v>
      </c>
      <c r="B276" s="2" t="s">
        <v>572</v>
      </c>
      <c r="C276" s="3">
        <v>14</v>
      </c>
      <c r="D276" s="33">
        <v>2310508</v>
      </c>
      <c r="E276" s="33">
        <v>733866</v>
      </c>
      <c r="F276" s="33">
        <v>1278327</v>
      </c>
      <c r="G276" s="33">
        <v>298314</v>
      </c>
      <c r="H276" s="32">
        <v>1576641</v>
      </c>
      <c r="I276" s="33">
        <v>0</v>
      </c>
      <c r="J276" s="33">
        <v>958745</v>
      </c>
      <c r="K276" s="33">
        <v>0</v>
      </c>
      <c r="L276" s="33">
        <v>202524</v>
      </c>
      <c r="M276" s="33">
        <v>0</v>
      </c>
      <c r="N276" s="34">
        <v>1161269</v>
      </c>
      <c r="O276" s="33">
        <v>285448</v>
      </c>
      <c r="P276" s="35">
        <v>45929</v>
      </c>
      <c r="Q276" s="33">
        <v>285448</v>
      </c>
      <c r="R276" s="35">
        <v>46020</v>
      </c>
      <c r="S276" s="33">
        <v>285448</v>
      </c>
      <c r="T276" s="35">
        <v>46112</v>
      </c>
      <c r="U276" s="33">
        <v>304925</v>
      </c>
      <c r="V276" s="36">
        <v>46195</v>
      </c>
      <c r="W276" s="6">
        <v>0</v>
      </c>
      <c r="X276" s="40" t="s">
        <v>30</v>
      </c>
      <c r="Z276" s="38"/>
      <c r="AA276" s="39"/>
    </row>
    <row r="277" spans="1:27" x14ac:dyDescent="0.25">
      <c r="A277" s="3" t="s">
        <v>573</v>
      </c>
      <c r="B277" s="2" t="s">
        <v>574</v>
      </c>
      <c r="C277" s="3">
        <v>6</v>
      </c>
      <c r="D277" s="33">
        <v>559694</v>
      </c>
      <c r="E277" s="33">
        <v>288305</v>
      </c>
      <c r="F277" s="33">
        <v>136830</v>
      </c>
      <c r="G277" s="33">
        <v>134560</v>
      </c>
      <c r="H277" s="32">
        <v>271390</v>
      </c>
      <c r="I277" s="33">
        <v>0</v>
      </c>
      <c r="J277" s="33">
        <v>102623</v>
      </c>
      <c r="K277" s="33">
        <v>0</v>
      </c>
      <c r="L277" s="33">
        <v>91352</v>
      </c>
      <c r="M277" s="33">
        <v>0</v>
      </c>
      <c r="N277" s="34">
        <v>193975</v>
      </c>
      <c r="O277" s="33">
        <v>46297</v>
      </c>
      <c r="P277" s="35">
        <v>45929</v>
      </c>
      <c r="Q277" s="33">
        <v>46297</v>
      </c>
      <c r="R277" s="35">
        <v>46020</v>
      </c>
      <c r="S277" s="33">
        <v>46297</v>
      </c>
      <c r="T277" s="35">
        <v>46112</v>
      </c>
      <c r="U277" s="33">
        <v>55084</v>
      </c>
      <c r="V277" s="36">
        <v>46195</v>
      </c>
      <c r="W277" s="6">
        <v>171635</v>
      </c>
      <c r="X277" s="40" t="s">
        <v>77</v>
      </c>
      <c r="Z277" s="38"/>
      <c r="AA277" s="39"/>
    </row>
    <row r="278" spans="1:27" x14ac:dyDescent="0.25">
      <c r="A278" s="3" t="s">
        <v>575</v>
      </c>
      <c r="B278" s="2" t="s">
        <v>576</v>
      </c>
      <c r="C278" s="3">
        <v>12</v>
      </c>
      <c r="D278" s="33">
        <v>1505205</v>
      </c>
      <c r="E278" s="33">
        <v>629028</v>
      </c>
      <c r="F278" s="33">
        <v>567402</v>
      </c>
      <c r="G278" s="33">
        <v>308775</v>
      </c>
      <c r="H278" s="32">
        <v>876177</v>
      </c>
      <c r="I278" s="33">
        <v>0</v>
      </c>
      <c r="J278" s="33">
        <v>425552</v>
      </c>
      <c r="K278" s="33">
        <v>0</v>
      </c>
      <c r="L278" s="33">
        <v>209626</v>
      </c>
      <c r="M278" s="33">
        <v>0</v>
      </c>
      <c r="N278" s="34">
        <v>635178</v>
      </c>
      <c r="O278" s="33">
        <v>153754</v>
      </c>
      <c r="P278" s="35">
        <v>45929</v>
      </c>
      <c r="Q278" s="33">
        <v>153754</v>
      </c>
      <c r="R278" s="35">
        <v>46020</v>
      </c>
      <c r="S278" s="33">
        <v>153754</v>
      </c>
      <c r="T278" s="35">
        <v>46112</v>
      </c>
      <c r="U278" s="33">
        <v>173916</v>
      </c>
      <c r="V278" s="36">
        <v>46195</v>
      </c>
      <c r="W278" s="6">
        <v>0</v>
      </c>
      <c r="X278" s="40" t="s">
        <v>30</v>
      </c>
      <c r="Z278" s="38"/>
      <c r="AA278" s="39"/>
    </row>
    <row r="279" spans="1:27" x14ac:dyDescent="0.25">
      <c r="A279" s="3" t="s">
        <v>577</v>
      </c>
      <c r="B279" s="2" t="s">
        <v>578</v>
      </c>
      <c r="C279" s="3">
        <v>23</v>
      </c>
      <c r="D279" s="33">
        <v>2578114</v>
      </c>
      <c r="E279" s="33">
        <v>1205637</v>
      </c>
      <c r="F279" s="33">
        <v>773098</v>
      </c>
      <c r="G279" s="33">
        <v>599379</v>
      </c>
      <c r="H279" s="32">
        <v>1372477</v>
      </c>
      <c r="I279" s="33">
        <v>8528</v>
      </c>
      <c r="J279" s="33">
        <v>573428</v>
      </c>
      <c r="K279" s="33">
        <v>41409</v>
      </c>
      <c r="L279" s="33">
        <v>378803</v>
      </c>
      <c r="M279" s="33">
        <v>0</v>
      </c>
      <c r="N279" s="34">
        <v>1002168</v>
      </c>
      <c r="O279" s="33">
        <v>241434</v>
      </c>
      <c r="P279" s="35">
        <v>45929</v>
      </c>
      <c r="Q279" s="33">
        <v>241434</v>
      </c>
      <c r="R279" s="35">
        <v>46020</v>
      </c>
      <c r="S279" s="33">
        <v>241434</v>
      </c>
      <c r="T279" s="35">
        <v>46112</v>
      </c>
      <c r="U279" s="33">
        <v>277866</v>
      </c>
      <c r="V279" s="36">
        <v>46195</v>
      </c>
      <c r="W279" s="6">
        <v>0</v>
      </c>
      <c r="X279" s="40" t="s">
        <v>30</v>
      </c>
      <c r="Z279" s="38"/>
      <c r="AA279" s="39"/>
    </row>
    <row r="280" spans="1:27" x14ac:dyDescent="0.25">
      <c r="A280" s="3" t="s">
        <v>579</v>
      </c>
      <c r="B280" s="2" t="s">
        <v>580</v>
      </c>
      <c r="C280" s="3">
        <v>45</v>
      </c>
      <c r="D280" s="33">
        <v>4586176</v>
      </c>
      <c r="E280" s="33">
        <v>2358855</v>
      </c>
      <c r="F280" s="33">
        <v>1524666</v>
      </c>
      <c r="G280" s="33">
        <v>702654</v>
      </c>
      <c r="H280" s="32">
        <v>2227320</v>
      </c>
      <c r="I280" s="33">
        <v>119918</v>
      </c>
      <c r="J280" s="33">
        <v>1053561</v>
      </c>
      <c r="K280" s="33">
        <v>0</v>
      </c>
      <c r="L280" s="33">
        <v>477028</v>
      </c>
      <c r="M280" s="33">
        <v>0</v>
      </c>
      <c r="N280" s="34">
        <v>1650507</v>
      </c>
      <c r="O280" s="33">
        <v>401157</v>
      </c>
      <c r="P280" s="35">
        <v>45929</v>
      </c>
      <c r="Q280" s="33">
        <v>401157</v>
      </c>
      <c r="R280" s="35">
        <v>46020</v>
      </c>
      <c r="S280" s="33">
        <v>401157</v>
      </c>
      <c r="T280" s="35">
        <v>46112</v>
      </c>
      <c r="U280" s="33">
        <v>447036</v>
      </c>
      <c r="V280" s="36">
        <v>46195</v>
      </c>
      <c r="W280" s="6">
        <v>0</v>
      </c>
      <c r="X280" s="40" t="s">
        <v>30</v>
      </c>
      <c r="Z280" s="38"/>
      <c r="AA280" s="39"/>
    </row>
    <row r="281" spans="1:27" x14ac:dyDescent="0.25">
      <c r="A281" s="3" t="s">
        <v>581</v>
      </c>
      <c r="B281" s="2" t="s">
        <v>582</v>
      </c>
      <c r="C281" s="3">
        <v>111</v>
      </c>
      <c r="D281" s="33">
        <v>14581159</v>
      </c>
      <c r="E281" s="33">
        <v>5739881</v>
      </c>
      <c r="F281" s="33">
        <v>6858970</v>
      </c>
      <c r="G281" s="33">
        <v>1982308</v>
      </c>
      <c r="H281" s="32">
        <v>8841278</v>
      </c>
      <c r="I281" s="33">
        <v>0</v>
      </c>
      <c r="J281" s="33">
        <v>5144228</v>
      </c>
      <c r="K281" s="33">
        <v>0</v>
      </c>
      <c r="L281" s="33">
        <v>1345778</v>
      </c>
      <c r="M281" s="33">
        <v>0</v>
      </c>
      <c r="N281" s="34">
        <v>6490006</v>
      </c>
      <c r="O281" s="33">
        <v>1590143</v>
      </c>
      <c r="P281" s="35">
        <v>45929</v>
      </c>
      <c r="Q281" s="33">
        <v>1590143</v>
      </c>
      <c r="R281" s="35">
        <v>46020</v>
      </c>
      <c r="S281" s="33">
        <v>1590143</v>
      </c>
      <c r="T281" s="35">
        <v>46112</v>
      </c>
      <c r="U281" s="33">
        <v>1719577</v>
      </c>
      <c r="V281" s="36">
        <v>46195</v>
      </c>
      <c r="W281" s="6">
        <v>0</v>
      </c>
      <c r="X281" s="40" t="s">
        <v>30</v>
      </c>
      <c r="Z281" s="38"/>
      <c r="AA281" s="39"/>
    </row>
    <row r="282" spans="1:27" x14ac:dyDescent="0.25">
      <c r="A282" s="3" t="s">
        <v>583</v>
      </c>
      <c r="B282" s="2" t="s">
        <v>584</v>
      </c>
      <c r="C282" s="3">
        <v>11</v>
      </c>
      <c r="D282" s="33">
        <v>1679425</v>
      </c>
      <c r="E282" s="33">
        <v>550400</v>
      </c>
      <c r="F282" s="33">
        <v>782487</v>
      </c>
      <c r="G282" s="33">
        <v>346539</v>
      </c>
      <c r="H282" s="32">
        <v>1129026</v>
      </c>
      <c r="I282" s="33">
        <v>0</v>
      </c>
      <c r="J282" s="33">
        <v>586865</v>
      </c>
      <c r="K282" s="33">
        <v>0</v>
      </c>
      <c r="L282" s="33">
        <v>235263</v>
      </c>
      <c r="M282" s="33">
        <v>0</v>
      </c>
      <c r="N282" s="34">
        <v>822128</v>
      </c>
      <c r="O282" s="33">
        <v>199875</v>
      </c>
      <c r="P282" s="35">
        <v>45929</v>
      </c>
      <c r="Q282" s="33">
        <v>199875</v>
      </c>
      <c r="R282" s="35">
        <v>46020</v>
      </c>
      <c r="S282" s="33">
        <v>199875</v>
      </c>
      <c r="T282" s="35">
        <v>46112</v>
      </c>
      <c r="U282" s="33">
        <v>222503</v>
      </c>
      <c r="V282" s="36">
        <v>46195</v>
      </c>
      <c r="W282" s="6">
        <v>0</v>
      </c>
      <c r="X282" s="40" t="s">
        <v>30</v>
      </c>
      <c r="Z282" s="38"/>
      <c r="AA282" s="39"/>
    </row>
    <row r="283" spans="1:27" x14ac:dyDescent="0.25">
      <c r="A283" s="3" t="s">
        <v>585</v>
      </c>
      <c r="B283" s="2" t="s">
        <v>586</v>
      </c>
      <c r="C283" s="3">
        <v>41</v>
      </c>
      <c r="D283" s="33">
        <v>5471653</v>
      </c>
      <c r="E283" s="33">
        <v>2122970</v>
      </c>
      <c r="F283" s="33">
        <v>2482792</v>
      </c>
      <c r="G283" s="33">
        <v>865891</v>
      </c>
      <c r="H283" s="32">
        <v>3348683</v>
      </c>
      <c r="I283" s="33">
        <v>35386</v>
      </c>
      <c r="J283" s="33">
        <v>1835555</v>
      </c>
      <c r="K283" s="33">
        <v>0</v>
      </c>
      <c r="L283" s="33">
        <v>587849</v>
      </c>
      <c r="M283" s="33">
        <v>0</v>
      </c>
      <c r="N283" s="34">
        <v>2458790</v>
      </c>
      <c r="O283" s="33">
        <v>600563</v>
      </c>
      <c r="P283" s="35">
        <v>45929</v>
      </c>
      <c r="Q283" s="33">
        <v>600563</v>
      </c>
      <c r="R283" s="35">
        <v>46030</v>
      </c>
      <c r="S283" s="33">
        <v>600563</v>
      </c>
      <c r="T283" s="35">
        <v>46112</v>
      </c>
      <c r="U283" s="33">
        <v>657101</v>
      </c>
      <c r="V283" s="36">
        <v>46195</v>
      </c>
      <c r="W283" s="6">
        <v>0</v>
      </c>
      <c r="X283" s="40" t="s">
        <v>30</v>
      </c>
      <c r="Z283" s="38"/>
      <c r="AA283" s="39"/>
    </row>
    <row r="284" spans="1:27" x14ac:dyDescent="0.25">
      <c r="A284" s="3" t="s">
        <v>587</v>
      </c>
      <c r="B284" s="2" t="s">
        <v>588</v>
      </c>
      <c r="C284" s="3">
        <v>3</v>
      </c>
      <c r="D284" s="33">
        <v>332322</v>
      </c>
      <c r="E284" s="33">
        <v>157257</v>
      </c>
      <c r="F284" s="33">
        <v>175065</v>
      </c>
      <c r="G284" s="33">
        <v>0</v>
      </c>
      <c r="H284" s="32">
        <v>175065</v>
      </c>
      <c r="I284" s="33">
        <v>0</v>
      </c>
      <c r="J284" s="33">
        <v>131298</v>
      </c>
      <c r="K284" s="33">
        <v>0</v>
      </c>
      <c r="L284" s="33">
        <v>0</v>
      </c>
      <c r="M284" s="33">
        <v>-91</v>
      </c>
      <c r="N284" s="34">
        <v>131207</v>
      </c>
      <c r="O284" s="33">
        <v>32802</v>
      </c>
      <c r="P284" s="35">
        <v>45929</v>
      </c>
      <c r="Q284" s="33">
        <v>32802</v>
      </c>
      <c r="R284" s="35">
        <v>46020</v>
      </c>
      <c r="S284" s="33">
        <v>32802</v>
      </c>
      <c r="T284" s="35">
        <v>46112</v>
      </c>
      <c r="U284" s="33">
        <v>32801</v>
      </c>
      <c r="V284" s="36">
        <v>46195</v>
      </c>
      <c r="W284" s="6">
        <v>0</v>
      </c>
      <c r="X284" s="40" t="s">
        <v>30</v>
      </c>
      <c r="Z284" s="38"/>
      <c r="AA284" s="39"/>
    </row>
    <row r="285" spans="1:27" x14ac:dyDescent="0.25">
      <c r="A285" s="3" t="s">
        <v>589</v>
      </c>
      <c r="B285" s="2" t="s">
        <v>590</v>
      </c>
      <c r="C285" s="3">
        <v>1</v>
      </c>
      <c r="D285" s="33">
        <v>65963</v>
      </c>
      <c r="E285" s="33">
        <v>52419</v>
      </c>
      <c r="F285" s="33">
        <v>13544</v>
      </c>
      <c r="G285" s="33">
        <v>0</v>
      </c>
      <c r="H285" s="32">
        <v>13544</v>
      </c>
      <c r="I285" s="33">
        <v>0</v>
      </c>
      <c r="J285" s="33">
        <v>10158</v>
      </c>
      <c r="K285" s="33">
        <v>0</v>
      </c>
      <c r="L285" s="33">
        <v>0</v>
      </c>
      <c r="M285" s="33">
        <v>0</v>
      </c>
      <c r="N285" s="34">
        <v>10158</v>
      </c>
      <c r="O285" s="33">
        <v>2540</v>
      </c>
      <c r="P285" s="35">
        <v>45929</v>
      </c>
      <c r="Q285" s="33">
        <v>2540</v>
      </c>
      <c r="R285" s="35">
        <v>46020</v>
      </c>
      <c r="S285" s="33">
        <v>2540</v>
      </c>
      <c r="T285" s="35">
        <v>46112</v>
      </c>
      <c r="U285" s="33">
        <v>2538</v>
      </c>
      <c r="V285" s="36">
        <v>46195</v>
      </c>
      <c r="W285" s="6">
        <v>0</v>
      </c>
      <c r="X285" s="40" t="s">
        <v>30</v>
      </c>
      <c r="Z285" s="38"/>
      <c r="AA285" s="39"/>
    </row>
    <row r="286" spans="1:27" x14ac:dyDescent="0.25">
      <c r="A286" s="42" t="s">
        <v>591</v>
      </c>
      <c r="B286" s="43"/>
      <c r="C286" s="44">
        <f>SUBTOTAL(109,C6:C285)</f>
        <v>10759</v>
      </c>
      <c r="D286" s="44">
        <f t="shared" ref="D286:O286" si="0">SUBTOTAL(109,D6:D285)</f>
        <v>1443824902</v>
      </c>
      <c r="E286" s="44">
        <f t="shared" si="0"/>
        <v>556847072</v>
      </c>
      <c r="F286" s="44">
        <f t="shared" si="0"/>
        <v>652792540</v>
      </c>
      <c r="G286" s="44">
        <f t="shared" si="0"/>
        <v>234185325</v>
      </c>
      <c r="H286" s="44">
        <f t="shared" si="0"/>
        <v>886977865</v>
      </c>
      <c r="I286" s="44">
        <f t="shared" si="0"/>
        <v>19440509</v>
      </c>
      <c r="J286" s="44">
        <f t="shared" si="0"/>
        <v>475014062</v>
      </c>
      <c r="K286" s="44">
        <f t="shared" si="0"/>
        <v>5464878</v>
      </c>
      <c r="L286" s="44">
        <f t="shared" si="0"/>
        <v>155277106</v>
      </c>
      <c r="M286" s="44">
        <f t="shared" si="0"/>
        <v>-288500</v>
      </c>
      <c r="N286" s="44">
        <f t="shared" si="0"/>
        <v>654908054.72000003</v>
      </c>
      <c r="O286" s="44">
        <f t="shared" si="0"/>
        <v>160434245</v>
      </c>
      <c r="P286" s="44"/>
      <c r="Q286" s="44">
        <f t="shared" ref="Q286" si="1">SUBTOTAL(109,Q6:Q285)</f>
        <v>160434245</v>
      </c>
      <c r="R286" s="44"/>
      <c r="S286" s="44">
        <f t="shared" ref="S286" si="2">SUBTOTAL(109,S6:S285)</f>
        <v>159410276</v>
      </c>
      <c r="T286" s="44"/>
      <c r="U286" s="44">
        <f t="shared" ref="U286" si="3">SUBTOTAL(109,U6:U285)</f>
        <v>174629288.72</v>
      </c>
      <c r="V286" s="36"/>
      <c r="W286" s="44">
        <f t="shared" ref="W286" si="4">SUBTOTAL(109,W6:W285)</f>
        <v>8730418</v>
      </c>
      <c r="X286" s="40"/>
      <c r="Z286" s="38"/>
      <c r="AA286" s="38"/>
    </row>
    <row r="287" spans="1:27" x14ac:dyDescent="0.25">
      <c r="A287" s="3" t="s">
        <v>592</v>
      </c>
      <c r="C287" s="6"/>
      <c r="H287" s="45"/>
      <c r="P287" s="6"/>
      <c r="R287" s="35"/>
      <c r="T287" s="35"/>
      <c r="V287" s="46"/>
      <c r="X287" s="47"/>
    </row>
    <row r="288" spans="1:27" x14ac:dyDescent="0.25">
      <c r="C288" s="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8"/>
      <c r="Y288" s="4"/>
    </row>
    <row r="289" spans="3:25" x14ac:dyDescent="0.25">
      <c r="C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8"/>
      <c r="Y289" s="4"/>
    </row>
    <row r="290" spans="3:25" x14ac:dyDescent="0.25">
      <c r="C290" s="4"/>
      <c r="H290" s="49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0"/>
      <c r="W290" s="4"/>
      <c r="X290" s="48"/>
      <c r="Y290" s="4"/>
    </row>
    <row r="292" spans="3:25" x14ac:dyDescent="0.25">
      <c r="H292" s="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2c6b6e-b2ea-4611-9a92-98190716b015" xsi:nil="true"/>
    <lcf76f155ced4ddcb4097134ff3c332f xmlns="42e21ee1-8e13-46c6-b775-69c4c9f561f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F26D5A5E6A7B48969CC172B6C19D03" ma:contentTypeVersion="14" ma:contentTypeDescription="Create a new document." ma:contentTypeScope="" ma:versionID="9a3ef3c21a447e3d50eee3c2ba5327da">
  <xsd:schema xmlns:xsd="http://www.w3.org/2001/XMLSchema" xmlns:xs="http://www.w3.org/2001/XMLSchema" xmlns:p="http://schemas.microsoft.com/office/2006/metadata/properties" xmlns:ns2="42e21ee1-8e13-46c6-b775-69c4c9f561ff" xmlns:ns3="2a2c6b6e-b2ea-4611-9a92-98190716b015" targetNamespace="http://schemas.microsoft.com/office/2006/metadata/properties" ma:root="true" ma:fieldsID="397ebcbe4e464475d57f8027bb523bc2" ns2:_="" ns3:_="">
    <xsd:import namespace="42e21ee1-8e13-46c6-b775-69c4c9f561ff"/>
    <xsd:import namespace="2a2c6b6e-b2ea-4611-9a92-98190716b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21ee1-8e13-46c6-b775-69c4c9f561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c6b6e-b2ea-4611-9a92-98190716b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6741360-81bc-40cb-aab6-8310e4820ba0}" ma:internalName="TaxCatchAll" ma:showField="CatchAllData" ma:web="2a2c6b6e-b2ea-4611-9a92-98190716b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2E2564-DAB7-4DCF-819C-EC0DC416DBFB}">
  <ds:schemaRefs>
    <ds:schemaRef ds:uri="http://schemas.microsoft.com/office/2006/metadata/properties"/>
    <ds:schemaRef ds:uri="http://schemas.microsoft.com/office/infopath/2007/PartnerControls"/>
    <ds:schemaRef ds:uri="2a2c6b6e-b2ea-4611-9a92-98190716b015"/>
    <ds:schemaRef ds:uri="42e21ee1-8e13-46c6-b775-69c4c9f561ff"/>
  </ds:schemaRefs>
</ds:datastoreItem>
</file>

<file path=customXml/itemProps2.xml><?xml version="1.0" encoding="utf-8"?>
<ds:datastoreItem xmlns:ds="http://schemas.openxmlformats.org/officeDocument/2006/customXml" ds:itemID="{1C508975-1E97-4FD8-A829-45C0DA2A97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e21ee1-8e13-46c6-b775-69c4c9f561ff"/>
    <ds:schemaRef ds:uri="2a2c6b6e-b2ea-4611-9a92-98190716b0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562244-88D1-4A2C-B2C6-26619F45C1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e861d16-48b7-4a0e-9806-8c04d81b7b2a}" enabled="0" method="" siteId="{3e861d16-48b7-4a0e-9806-8c04d81b7b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FY26 CB reimbursement</vt:lpstr>
      <vt:lpstr>'FY26 CB reimbursement'!_CB_Cost_and_Reimbursement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FY2026 Final Circuit Breaker Reimbursement Listing</dc:title>
  <dc:creator>DESE</dc:creator>
  <cp:lastModifiedBy>Zou, Dong (EOE)</cp:lastModifiedBy>
  <dcterms:created xsi:type="dcterms:W3CDTF">2026-06-11T14:39:58Z</dcterms:created>
  <dcterms:modified xsi:type="dcterms:W3CDTF">2026-06-15T19:26:17Z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Jun 15 2026 12:00AM</vt:lpwstr>
  </property>
</Properties>
</file>