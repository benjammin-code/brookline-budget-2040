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SPH">Assumptions!$C$120</definedName>
    <definedName name="A_TD">Assumptions!$C$123</definedName>
    <definedName name="A_Sch">Assumptions!$C$124</definedName>
    <definedName name="A_GH">Assumptions!$C$125</definedName>
    <definedName name="A_Pen">Assumptions!$C$126</definedName>
    <definedName name="A_OPEB">Assumptions!$C$127</definedName>
    <definedName name="A_OB">Assumptions!$C$128</definedName>
    <definedName name="A_Debt">Assumptions!$C$129</definedName>
    <definedName name="A_Other">Assumptions!$C$130</definedName>
    <definedName name="A_OtherFunds">Assumptions!$C$131</definedName>
    <definedName name="A_FTEchg">Assumptions!$C$132</definedName>
    <definedName name="ChcaProp">Assumptions!$C$140</definedName>
    <definedName name="ChcaLR">Assumptions!$D$140</definedName>
    <definedName name="ChcaResShare">Assumptions!$B$140</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Forecast!$C$88</definedName>
    <definedName name="Staff27">Forecast!$C$89</definedName>
    <definedName name="Ratio27">Forecast!$C$90</definedName>
    <definedName name="RatioTarget">Forecast!$C$91</definedName>
    <definedName name="AllStaff27">Forecast!$C$92</definedName>
    <definedName name="PayToFY27">Forecast!$C$93</definedName>
    <definedName name="PSPayToFY27">Forecast!$C$94</definedName>
    <definedName name="PenNC30">Forecast!$C$95</definedName>
    <definedName name="PenSlipPay">Forecast!$C$96</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D71</f>
        <v/>
      </c>
      <c r="E8" s="17">
        <f>E71</f>
        <v/>
      </c>
      <c r="F8" s="17">
        <f>F71</f>
        <v/>
      </c>
      <c r="G8" s="17">
        <f>G71</f>
        <v/>
      </c>
      <c r="H8" s="17">
        <f>H71</f>
        <v/>
      </c>
      <c r="I8" s="17">
        <f>I71</f>
        <v/>
      </c>
      <c r="J8" s="17">
        <f>J71</f>
        <v/>
      </c>
      <c r="K8" s="17">
        <f>K71</f>
        <v/>
      </c>
      <c r="L8" s="17">
        <f>L71</f>
        <v/>
      </c>
      <c r="M8" s="17">
        <f>M71</f>
        <v/>
      </c>
      <c r="N8" s="17">
        <f>N71</f>
        <v/>
      </c>
      <c r="O8" s="17">
        <f>O71</f>
        <v/>
      </c>
      <c r="P8" s="17">
        <f>P71</f>
        <v/>
      </c>
      <c r="Q8" s="17">
        <f>Q71</f>
        <v/>
      </c>
    </row>
    <row r="9">
      <c r="A9" t="inlineStr">
        <is>
          <t>Local receipts, as budgeted</t>
        </is>
      </c>
      <c r="D9" s="17">
        <f>D75</f>
        <v/>
      </c>
      <c r="E9" s="17">
        <f>E75</f>
        <v/>
      </c>
      <c r="F9" s="17">
        <f>F75</f>
        <v/>
      </c>
      <c r="G9" s="17">
        <f>G75</f>
        <v/>
      </c>
      <c r="H9" s="17">
        <f>H75</f>
        <v/>
      </c>
      <c r="I9" s="17">
        <f>I75</f>
        <v/>
      </c>
      <c r="J9" s="17">
        <f>J75</f>
        <v/>
      </c>
      <c r="K9" s="17">
        <f>K75</f>
        <v/>
      </c>
      <c r="L9" s="17">
        <f>L75</f>
        <v/>
      </c>
      <c r="M9" s="17">
        <f>M75</f>
        <v/>
      </c>
      <c r="N9" s="17">
        <f>N75</f>
        <v/>
      </c>
      <c r="O9" s="17">
        <f>O75</f>
        <v/>
      </c>
      <c r="P9" s="17">
        <f>P75</f>
        <v/>
      </c>
      <c r="Q9" s="17">
        <f>Q75</f>
        <v/>
      </c>
    </row>
    <row r="10">
      <c r="A10" t="inlineStr">
        <is>
          <t>Free cash</t>
        </is>
      </c>
      <c r="D10" s="17">
        <f>D76</f>
        <v/>
      </c>
      <c r="E10" s="17">
        <f>E76</f>
        <v/>
      </c>
      <c r="F10" s="17">
        <f>F76</f>
        <v/>
      </c>
      <c r="G10" s="17">
        <f>G76</f>
        <v/>
      </c>
      <c r="H10" s="17">
        <f>H76</f>
        <v/>
      </c>
      <c r="I10" s="17">
        <f>I76</f>
        <v/>
      </c>
      <c r="J10" s="17">
        <f>J76</f>
        <v/>
      </c>
      <c r="K10" s="17">
        <f>K76</f>
        <v/>
      </c>
      <c r="L10" s="17">
        <f>L76</f>
        <v/>
      </c>
      <c r="M10" s="17">
        <f>M76</f>
        <v/>
      </c>
      <c r="N10" s="17">
        <f>N76</f>
        <v/>
      </c>
      <c r="O10" s="17">
        <f>O76</f>
        <v/>
      </c>
      <c r="P10" s="17">
        <f>P76</f>
        <v/>
      </c>
      <c r="Q10" s="17">
        <f>Q76</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D73</f>
        <v/>
      </c>
      <c r="E12" s="17">
        <f>E73</f>
        <v/>
      </c>
      <c r="F12" s="17">
        <f>F73</f>
        <v/>
      </c>
      <c r="G12" s="17">
        <f>G73</f>
        <v/>
      </c>
      <c r="H12" s="17">
        <f>H73</f>
        <v/>
      </c>
      <c r="I12" s="17">
        <f>I73</f>
        <v/>
      </c>
      <c r="J12" s="17">
        <f>J73</f>
        <v/>
      </c>
      <c r="K12" s="17">
        <f>K73</f>
        <v/>
      </c>
      <c r="L12" s="17">
        <f>L73</f>
        <v/>
      </c>
      <c r="M12" s="17">
        <f>M73</f>
        <v/>
      </c>
      <c r="N12" s="17">
        <f>N73</f>
        <v/>
      </c>
      <c r="O12" s="17">
        <f>O73</f>
        <v/>
      </c>
      <c r="P12" s="17">
        <f>P73</f>
        <v/>
      </c>
      <c r="Q12" s="17">
        <f>Q73</f>
        <v/>
      </c>
    </row>
    <row r="13">
      <c r="A13" s="27" t="inlineStr">
        <is>
          <t>Total revenue</t>
        </is>
      </c>
      <c r="B13" s="27" t="n"/>
      <c r="C13" s="27" t="n"/>
      <c r="D13" s="29">
        <f>D77-D48</f>
        <v/>
      </c>
      <c r="E13" s="29">
        <f>E77-E48</f>
        <v/>
      </c>
      <c r="F13" s="29">
        <f>F77-F48</f>
        <v/>
      </c>
      <c r="G13" s="29">
        <f>G77-G48</f>
        <v/>
      </c>
      <c r="H13" s="29">
        <f>H77-H48</f>
        <v/>
      </c>
      <c r="I13" s="29">
        <f>I77-I48</f>
        <v/>
      </c>
      <c r="J13" s="29">
        <f>J77-J48</f>
        <v/>
      </c>
      <c r="K13" s="29">
        <f>K77-K48</f>
        <v/>
      </c>
      <c r="L13" s="29">
        <f>L77-L48</f>
        <v/>
      </c>
      <c r="M13" s="29">
        <f>M77-M48</f>
        <v/>
      </c>
      <c r="N13" s="29">
        <f>N77-N48</f>
        <v/>
      </c>
      <c r="O13" s="29">
        <f>O77-O48</f>
        <v/>
      </c>
      <c r="P13" s="29">
        <f>P77-P48</f>
        <v/>
      </c>
      <c r="Q13" s="29">
        <f>Q77-Q48</f>
        <v/>
      </c>
    </row>
    <row r="15">
      <c r="A15" s="2" t="inlineStr">
        <is>
          <t>Spending</t>
        </is>
      </c>
    </row>
    <row r="16">
      <c r="A16" t="inlineStr">
        <is>
          <t>Town departments, today's services</t>
        </is>
      </c>
      <c r="D16" s="17">
        <f>A_TD*(K_pD*D65+(1-K_pD)*D58)+D37</f>
        <v/>
      </c>
      <c r="E16" s="17">
        <f>A_TD*(K_pD*E65+(1-K_pD)*E58)+E37</f>
        <v/>
      </c>
      <c r="F16" s="17">
        <f>A_TD*(K_pD*F65+(1-K_pD)*F58)+F37</f>
        <v/>
      </c>
      <c r="G16" s="17">
        <f>A_TD*(K_pD*G65+(1-K_pD)*G58)+G37</f>
        <v/>
      </c>
      <c r="H16" s="17">
        <f>A_TD*(K_pD*H65+(1-K_pD)*H58)+H37</f>
        <v/>
      </c>
      <c r="I16" s="17">
        <f>A_TD*(K_pD*I65+(1-K_pD)*I58)+I37</f>
        <v/>
      </c>
      <c r="J16" s="17">
        <f>A_TD*(K_pD*J65+(1-K_pD)*J58)+J37</f>
        <v/>
      </c>
      <c r="K16" s="17">
        <f>A_TD*(K_pD*K65+(1-K_pD)*K58)+K37</f>
        <v/>
      </c>
      <c r="L16" s="17">
        <f>A_TD*(K_pD*L65+(1-K_pD)*L58)+L37</f>
        <v/>
      </c>
      <c r="M16" s="17">
        <f>A_TD*(K_pD*M65+(1-K_pD)*M58)+M37</f>
        <v/>
      </c>
      <c r="N16" s="17">
        <f>A_TD*(K_pD*N65+(1-K_pD)*N58)+N37</f>
        <v/>
      </c>
      <c r="O16" s="17">
        <f>A_TD*(K_pD*O65+(1-K_pD)*O58)+O37</f>
        <v/>
      </c>
      <c r="P16" s="17">
        <f>A_TD*(K_pD*P65+(1-K_pD)*P58)+P37</f>
        <v/>
      </c>
      <c r="Q16" s="17">
        <f>A_TD*(K_pD*Q65+(1-K_pD)*Q58)+Q37</f>
        <v/>
      </c>
    </row>
    <row r="17">
      <c r="A17" t="inlineStr">
        <is>
          <t>Town services for added homes and businesses</t>
        </is>
      </c>
      <c r="D17" s="17">
        <f>(D34*CostHome*(1-K_PSShare*(FireStep*(1-K_PSSharePol)+PoliceStep*K_PSSharePol))+D66*K_CostPerEmp)*PayToFY27*D55+D36+D39</f>
        <v/>
      </c>
      <c r="E17" s="17">
        <f>(E34*CostHome*(1-K_PSShare*(FireStep*(1-K_PSSharePol)+PoliceStep*K_PSSharePol))+E66*K_CostPerEmp)*PayToFY27*E55+K_Permit*MAX(E45/E46-1,0)*E55+E36+E39</f>
        <v/>
      </c>
      <c r="F17" s="17">
        <f>(F34*CostHome*(1-K_PSShare*(FireStep*(1-K_PSSharePol)+PoliceStep*K_PSSharePol))+F66*K_CostPerEmp)*PayToFY27*F55+K_Permit*MAX(F45/F46-1,0)*F55+F36+F39</f>
        <v/>
      </c>
      <c r="G17" s="17">
        <f>(G34*CostHome*(1-K_PSShare*(FireStep*(1-K_PSSharePol)+PoliceStep*K_PSSharePol))+G66*K_CostPerEmp)*PayToFY27*G55+K_Permit*MAX(G45/G46-1,0)*G55+G36+G39</f>
        <v/>
      </c>
      <c r="H17" s="17">
        <f>(H34*CostHome*(1-K_PSShare*(FireStep*(1-K_PSSharePol)+PoliceStep*K_PSSharePol))+H66*K_CostPerEmp)*PayToFY27*H55+K_Permit*MAX(H45/H46-1,0)*H55+H36+H39</f>
        <v/>
      </c>
      <c r="I17" s="17">
        <f>(I34*CostHome*(1-K_PSShare*(FireStep*(1-K_PSSharePol)+PoliceStep*K_PSSharePol))+I66*K_CostPerEmp)*PayToFY27*I55+K_Permit*MAX(I45/I46-1,0)*I55+I36+I39</f>
        <v/>
      </c>
      <c r="J17" s="17">
        <f>(J34*CostHome*(1-K_PSShare*(FireStep*(1-K_PSSharePol)+PoliceStep*K_PSSharePol))+J66*K_CostPerEmp)*PayToFY27*J55+K_Permit*MAX(J45/J46-1,0)*J55+J36+J39</f>
        <v/>
      </c>
      <c r="K17" s="17">
        <f>(K34*CostHome*(1-K_PSShare*(FireStep*(1-K_PSSharePol)+PoliceStep*K_PSSharePol))+K66*K_CostPerEmp)*PayToFY27*K55+K_Permit*MAX(K45/K46-1,0)*K55+K36+K39</f>
        <v/>
      </c>
      <c r="L17" s="17">
        <f>(L34*CostHome*(1-K_PSShare*(FireStep*(1-K_PSSharePol)+PoliceStep*K_PSSharePol))+L66*K_CostPerEmp)*PayToFY27*L55+K_Permit*MAX(L45/L46-1,0)*L55+L36+L39</f>
        <v/>
      </c>
      <c r="M17" s="17">
        <f>(M34*CostHome*(1-K_PSShare*(FireStep*(1-K_PSSharePol)+PoliceStep*K_PSSharePol))+M66*K_CostPerEmp)*PayToFY27*M55+K_Permit*MAX(M45/M46-1,0)*M55+M36+M39</f>
        <v/>
      </c>
      <c r="N17" s="17">
        <f>(N34*CostHome*(1-K_PSShare*(FireStep*(1-K_PSSharePol)+PoliceStep*K_PSSharePol))+N66*K_CostPerEmp)*PayToFY27*N55+K_Permit*MAX(N45/N46-1,0)*N55+N36+N39</f>
        <v/>
      </c>
      <c r="O17" s="17">
        <f>(O34*CostHome*(1-K_PSShare*(FireStep*(1-K_PSSharePol)+PoliceStep*K_PSSharePol))+O66*K_CostPerEmp)*PayToFY27*O55+K_Permit*MAX(O45/O46-1,0)*O55+O36+O39</f>
        <v/>
      </c>
      <c r="P17" s="17">
        <f>(P34*CostHome*(1-K_PSShare*(FireStep*(1-K_PSSharePol)+PoliceStep*K_PSSharePol))+P66*K_CostPerEmp)*PayToFY27*P55+K_Permit*MAX(P45/P46-1,0)*P55+P36+P39</f>
        <v/>
      </c>
      <c r="Q17" s="17">
        <f>(Q34*CostHome*(1-K_PSShare*(FireStep*(1-K_PSSharePol)+PoliceStep*K_PSSharePol))+Q66*K_CostPerEmp)*PayToFY27*Q55+K_Permit*MAX(Q45/Q46-1,0)*Q55+Q36+Q39</f>
        <v/>
      </c>
    </row>
    <row r="18">
      <c r="A18" t="inlineStr">
        <is>
          <t>Schools</t>
        </is>
      </c>
      <c r="D18" s="17">
        <f>A_Sch*(K_SPS*D57*D33/Staff27+(1-K_SPS)*D59*((1-K_V)+K_V*D32/Enroll27))</f>
        <v/>
      </c>
      <c r="E18" s="17">
        <f>A_Sch*(K_SPS*E57*E33/Staff27+(1-K_SPS)*E59*((1-K_V)+K_V*E32/Enroll27))</f>
        <v/>
      </c>
      <c r="F18" s="17">
        <f>A_Sch*(K_SPS*F57*F33/Staff27+(1-K_SPS)*F59*((1-K_V)+K_V*F32/Enroll27))</f>
        <v/>
      </c>
      <c r="G18" s="17">
        <f>A_Sch*(K_SPS*G57*G33/Staff27+(1-K_SPS)*G59*((1-K_V)+K_V*G32/Enroll27))</f>
        <v/>
      </c>
      <c r="H18" s="17">
        <f>A_Sch*(K_SPS*H57*H33/Staff27+(1-K_SPS)*H59*((1-K_V)+K_V*H32/Enroll27))</f>
        <v/>
      </c>
      <c r="I18" s="17">
        <f>A_Sch*(K_SPS*I57*I33/Staff27+(1-K_SPS)*I59*((1-K_V)+K_V*I32/Enroll27))</f>
        <v/>
      </c>
      <c r="J18" s="17">
        <f>A_Sch*(K_SPS*J57*J33/Staff27+(1-K_SPS)*J59*((1-K_V)+K_V*J32/Enroll27))</f>
        <v/>
      </c>
      <c r="K18" s="17">
        <f>A_Sch*(K_SPS*K57*K33/Staff27+(1-K_SPS)*K59*((1-K_V)+K_V*K32/Enroll27))</f>
        <v/>
      </c>
      <c r="L18" s="17">
        <f>A_Sch*(K_SPS*L57*L33/Staff27+(1-K_SPS)*L59*((1-K_V)+K_V*L32/Enroll27))</f>
        <v/>
      </c>
      <c r="M18" s="17">
        <f>A_Sch*(K_SPS*M57*M33/Staff27+(1-K_SPS)*M59*((1-K_V)+K_V*M32/Enroll27))</f>
        <v/>
      </c>
      <c r="N18" s="17">
        <f>A_Sch*(K_SPS*N57*N33/Staff27+(1-K_SPS)*N59*((1-K_V)+K_V*N32/Enroll27))</f>
        <v/>
      </c>
      <c r="O18" s="17">
        <f>A_Sch*(K_SPS*O57*O33/Staff27+(1-K_SPS)*O59*((1-K_V)+K_V*O32/Enroll27))</f>
        <v/>
      </c>
      <c r="P18" s="17">
        <f>A_Sch*(K_SPS*P57*P33/Staff27+(1-K_SPS)*P59*((1-K_V)+K_V*P32/Enroll27))</f>
        <v/>
      </c>
      <c r="Q18" s="17">
        <f>A_Sch*(K_SPS*Q57*Q33/Staff27+(1-K_SPS)*Q59*((1-K_V)+K_V*Q32/Enroll27))</f>
        <v/>
      </c>
    </row>
    <row r="19">
      <c r="A19" t="inlineStr">
        <is>
          <t>Health insurance</t>
        </is>
      </c>
      <c r="D19" s="17">
        <f>A_GH*D70*D60</f>
        <v/>
      </c>
      <c r="E19" s="17">
        <f>A_GH*E70*E60</f>
        <v/>
      </c>
      <c r="F19" s="17">
        <f>A_GH*F70*F60</f>
        <v/>
      </c>
      <c r="G19" s="17">
        <f>A_GH*G70*G60</f>
        <v/>
      </c>
      <c r="H19" s="17">
        <f>A_GH*H70*H60</f>
        <v/>
      </c>
      <c r="I19" s="17">
        <f>A_GH*I70*I60</f>
        <v/>
      </c>
      <c r="J19" s="17">
        <f>A_GH*J70*J60</f>
        <v/>
      </c>
      <c r="K19" s="17">
        <f>A_GH*K70*K60</f>
        <v/>
      </c>
      <c r="L19" s="17">
        <f>A_GH*L70*L60</f>
        <v/>
      </c>
      <c r="M19" s="17">
        <f>A_GH*M70*M60</f>
        <v/>
      </c>
      <c r="N19" s="17">
        <f>A_GH*N70*N60</f>
        <v/>
      </c>
      <c r="O19" s="17">
        <f>A_GH*O70*O60</f>
        <v/>
      </c>
      <c r="P19" s="17">
        <f>A_GH*P70*P60</f>
        <v/>
      </c>
      <c r="Q19" s="17">
        <f>A_GH*Q70*Q60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E68</f>
        <v/>
      </c>
      <c r="F21" s="17">
        <f>F68</f>
        <v/>
      </c>
      <c r="G21" s="17">
        <f>IF(AND(PensionSlip&gt;0,G$4&gt;=2030,G$4&lt;=2030+PensionSlip),PenNC30+PenSlipPay,G68)</f>
        <v/>
      </c>
      <c r="H21" s="17">
        <f>IF(AND(PensionSlip&gt;0,H$4&gt;=2030,H$4&lt;=2030+PensionSlip),H68+PenSlipPay,H68)</f>
        <v/>
      </c>
      <c r="I21" s="17">
        <f>IF(AND(PensionSlip&gt;0,I$4&gt;=2030,I$4&lt;=2030+PensionSlip),I68+PenSlipPay,I68)</f>
        <v/>
      </c>
      <c r="J21" s="17">
        <f>IF(AND(PensionSlip&gt;0,J$4&gt;=2030,J$4&lt;=2030+PensionSlip),J68+PenSlipPay,J68)</f>
        <v/>
      </c>
      <c r="K21" s="17">
        <f>IF(AND(PensionSlip&gt;0,K$4&gt;=2030,K$4&lt;=2030+PensionSlip),K68+PenSlipPay,K68)</f>
        <v/>
      </c>
      <c r="L21" s="17">
        <f>IF(AND(PensionSlip&gt;0,L$4&gt;=2030,L$4&lt;=2030+PensionSlip),L68+PenSlipPay,L68)</f>
        <v/>
      </c>
      <c r="M21" s="17">
        <f>IF(AND(PensionSlip&gt;0,M$4&gt;=2030,M$4&lt;=2030+PensionSlip),M68+PenSlipPay,M68)</f>
        <v/>
      </c>
      <c r="N21" s="17">
        <f>IF(AND(PensionSlip&gt;0,N$4&gt;=2030,N$4&lt;=2030+PensionSlip),N68+PenSlipPay,N68)</f>
        <v/>
      </c>
      <c r="O21" s="17">
        <f>IF(AND(PensionSlip&gt;0,O$4&gt;=2030,O$4&lt;=2030+PensionSlip),O68+PenSlipPay,O68)</f>
        <v/>
      </c>
      <c r="P21" s="17">
        <f>IF(AND(PensionSlip&gt;0,P$4&gt;=2030,P$4&lt;=2030+PensionSlip),P68+PenSlipPay,P68)</f>
        <v/>
      </c>
      <c r="Q21" s="17">
        <f>IF(AND(PensionSlip&gt;0,Q$4&gt;=2030,Q$4&lt;=2030+PensionSlip),Q68+PenSlipPay,Q68)</f>
        <v/>
      </c>
    </row>
    <row r="22">
      <c r="A22" t="inlineStr">
        <is>
          <t>Retiree health (OPEB)</t>
        </is>
      </c>
      <c r="D22" s="17">
        <f>A_OPEB</f>
        <v/>
      </c>
      <c r="E22" s="17">
        <f>IF(AND(OpebHold=1,Redirect=1),E84,E85)</f>
        <v/>
      </c>
      <c r="F22" s="17">
        <f>IF(AND(OpebHold=1,Redirect=1),F84,F85)</f>
        <v/>
      </c>
      <c r="G22" s="17">
        <f>IF(AND(OpebHold=1,Redirect=1),G84,G85)</f>
        <v/>
      </c>
      <c r="H22" s="17">
        <f>IF(AND(OpebHold=1,Redirect=1),H84,H85)</f>
        <v/>
      </c>
      <c r="I22" s="17">
        <f>IF(AND(OpebHold=1,Redirect=1),I84,I85)</f>
        <v/>
      </c>
      <c r="J22" s="17">
        <f>IF(AND(OpebHold=1,Redirect=1),J84,J85)</f>
        <v/>
      </c>
      <c r="K22" s="17">
        <f>IF(AND(OpebHold=1,Redirect=1),K84,K85)</f>
        <v/>
      </c>
      <c r="L22" s="17">
        <f>IF(AND(OpebHold=1,Redirect=1),L84,L85)</f>
        <v/>
      </c>
      <c r="M22" s="17">
        <f>IF(AND(OpebHold=1,Redirect=1),M84,M85)</f>
        <v/>
      </c>
      <c r="N22" s="17">
        <f>IF(AND(OpebHold=1,Redirect=1),N84,N85)</f>
        <v/>
      </c>
      <c r="O22" s="17">
        <f>IF(AND(OpebHold=1,Redirect=1),O84,O85)</f>
        <v/>
      </c>
      <c r="P22" s="17">
        <f>IF(AND(OpebHold=1,Redirect=1),P84,P85)</f>
        <v/>
      </c>
      <c r="Q22" s="17">
        <f>IF(AND(OpebHold=1,Redirect=1),Q84,Q85)</f>
        <v/>
      </c>
    </row>
    <row r="23">
      <c r="A23" t="inlineStr">
        <is>
          <t>Other benefits</t>
        </is>
      </c>
      <c r="D23" s="17">
        <f>A_OB</f>
        <v/>
      </c>
      <c r="E23" s="17">
        <f>Data!E14</f>
        <v/>
      </c>
      <c r="F23" s="17">
        <f>Data!F14</f>
        <v/>
      </c>
      <c r="G23" s="17">
        <f>Data!G14</f>
        <v/>
      </c>
      <c r="H23" s="17">
        <f>Data!H14</f>
        <v/>
      </c>
      <c r="I23" s="17">
        <f>Data!$H$14*I67/$H$67</f>
        <v/>
      </c>
      <c r="J23" s="17">
        <f>Data!$H$14*J67/$H$67</f>
        <v/>
      </c>
      <c r="K23" s="17">
        <f>Data!$H$14*K67/$H$67</f>
        <v/>
      </c>
      <c r="L23" s="17">
        <f>Data!$H$14*L67/$H$67</f>
        <v/>
      </c>
      <c r="M23" s="17">
        <f>Data!$H$14*M67/$H$67</f>
        <v/>
      </c>
      <c r="N23" s="17">
        <f>Data!$H$14*N67/$H$67</f>
        <v/>
      </c>
      <c r="O23" s="17">
        <f>Data!$H$14*O67/$H$67</f>
        <v/>
      </c>
      <c r="P23" s="17">
        <f>Data!$H$14*P67/$H$67</f>
        <v/>
      </c>
      <c r="Q23" s="17">
        <f>Data!$H$14*Q67/$H$67</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Data!E16+IF(CapFull=1,MAX(K_CIP*D78-E24-Data!E17,0),0)+K_Reserve*D78-Data!E18+E76-(Data!E20+K_FCDeposit*Data!E19+K_FCReserve*D78)</f>
        <v/>
      </c>
      <c r="F25" s="17">
        <f>Data!F16+IF(CapFull=1,MAX(K_CIP*E78-F24-Data!F17,0),0)+K_Reserve*E78-Data!F18+F76-(Data!F20+K_FCDeposit*Data!F19+K_FCReserve*E78)</f>
        <v/>
      </c>
      <c r="G25" s="17">
        <f>Data!G16+IF(CapFull=1,MAX(K_CIP*F78-G24-Data!G17,0),0)+K_Reserve*F78-Data!G18+G76-(Data!G20+K_FCDeposit*Data!G19+K_FCReserve*F78)</f>
        <v/>
      </c>
      <c r="H25" s="17">
        <f>Data!H16+IF(CapFull=1,MAX(K_CIP*G78-H24-Data!H17,0),0)+K_Reserve*G78-Data!H18+H76-(Data!H20+K_FCDeposit*Data!H19+K_FCReserve*G78)</f>
        <v/>
      </c>
      <c r="I25" s="17">
        <f>Data!I16+IF(CapFull=1,MAX(K_CIP*H78-I24-Data!I17,0),0)+K_Reserve*H78-Data!H18+K_GenFY31*(H78/$G$78-1)+K_NonAppFY31*((1+K_NonAppG)^(I$4-2031)-1)+I76-(Data!I20+K_FCDeposit*K_GenFY31*H78/$G$78+K_FCReserve*H78)</f>
        <v/>
      </c>
      <c r="J25" s="17">
        <f>Data!J16+IF(CapFull=1,MAX(K_CIP*I78-J24-Data!J17,0),0)+K_Reserve*I78-Data!H18+K_GenFY31*(I78/$G$78-1)+K_NonAppFY31*((1+K_NonAppG)^(J$4-2031)-1)+J76-(Data!J20+K_FCDeposit*K_GenFY31*I78/$G$78+K_FCReserve*I78)</f>
        <v/>
      </c>
      <c r="K25" s="17">
        <f>Data!K16+IF(CapFull=1,MAX(K_CIP*J78-K24-Data!K17,0),0)+K_Reserve*J78-Data!H18+K_GenFY31*(J78/$G$78-1)+K_NonAppFY31*((1+K_NonAppG)^(K$4-2031)-1)+K76-(Data!K20+K_FCDeposit*K_GenFY31*J78/$G$78+K_FCReserve*J78)</f>
        <v/>
      </c>
      <c r="L25" s="17">
        <f>Data!L16+IF(CapFull=1,MAX(K_CIP*K78-L24-Data!L17,0),0)+K_Reserve*K78-Data!H18+K_GenFY31*(K78/$G$78-1)+K_NonAppFY31*((1+K_NonAppG)^(L$4-2031)-1)+L76-(Data!L20+K_FCDeposit*K_GenFY31*K78/$G$78+K_FCReserve*K78)</f>
        <v/>
      </c>
      <c r="M25" s="17">
        <f>Data!M16+IF(CapFull=1,MAX(K_CIP*L78-M24-Data!M17,0),0)+K_Reserve*L78-Data!H18+K_GenFY31*(L78/$G$78-1)+K_NonAppFY31*((1+K_NonAppG)^(M$4-2031)-1)+M76-(Data!M20+K_FCDeposit*K_GenFY31*L78/$G$78+K_FCReserve*L78)</f>
        <v/>
      </c>
      <c r="N25" s="17">
        <f>Data!N16+IF(CapFull=1,MAX(K_CIP*M78-N24-Data!N17,0),0)+K_Reserve*M78-Data!H18+K_GenFY31*(M78/$G$78-1)+K_NonAppFY31*((1+K_NonAppG)^(N$4-2031)-1)+N76-(Data!N20+K_FCDeposit*K_GenFY31*M78/$G$78+K_FCReserve*M78)</f>
        <v/>
      </c>
      <c r="O25" s="17">
        <f>Data!O16+IF(CapFull=1,MAX(K_CIP*N78-O24-Data!O17,0),0)+K_Reserve*N78-Data!H18+K_GenFY31*(N78/$G$78-1)+K_NonAppFY31*((1+K_NonAppG)^(O$4-2031)-1)+O76-(Data!O20+K_FCDeposit*K_GenFY31*N78/$G$78+K_FCReserve*N78)</f>
        <v/>
      </c>
      <c r="P25" s="17">
        <f>Data!P16+IF(CapFull=1,MAX(K_CIP*O78-P24-Data!P17,0),0)+K_Reserve*O78-Data!H18+K_GenFY31*(O78/$G$78-1)+K_NonAppFY31*((1+K_NonAppG)^(P$4-2031)-1)+P76-(Data!P20+K_FCDeposit*K_GenFY31*O78/$G$78+K_FCReserve*O78)</f>
        <v/>
      </c>
      <c r="Q25" s="17">
        <f>Data!Q16+IF(CapFull=1,MAX(K_CIP*P78-Q24-Data!Q17,0),0)+K_Reserve*P78-Data!H18+K_GenFY31*(P78/$G$78-1)+K_NonAppFY31*((1+K_NonAppG)^(Q$4-2031)-1)+Q76-(Data!Q20+K_FCDeposit*K_GenFY31*P78/$G$78+K_FCReserve*P78)</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Staff27*(1-K_V)+K_V*C64</f>
        <v/>
      </c>
      <c r="D33" s="33">
        <f>Staff27*(1-K_V)+K_V*D64</f>
        <v/>
      </c>
      <c r="E33" s="33">
        <f>Staff27*(1-K_V)+K_V*E64</f>
        <v/>
      </c>
      <c r="F33" s="33">
        <f>Staff27*(1-K_V)+K_V*F64</f>
        <v/>
      </c>
      <c r="G33" s="33">
        <f>Staff27*(1-K_V)+K_V*G64</f>
        <v/>
      </c>
      <c r="H33" s="33">
        <f>Staff27*(1-K_V)+K_V*H64</f>
        <v/>
      </c>
      <c r="I33" s="33">
        <f>Staff27*(1-K_V)+K_V*I64</f>
        <v/>
      </c>
      <c r="J33" s="33">
        <f>Staff27*(1-K_V)+K_V*J64</f>
        <v/>
      </c>
      <c r="K33" s="33">
        <f>Staff27*(1-K_V)+K_V*K64</f>
        <v/>
      </c>
      <c r="L33" s="33">
        <f>Staff27*(1-K_V)+K_V*L64</f>
        <v/>
      </c>
      <c r="M33" s="33">
        <f>Staff27*(1-K_V)+K_V*M64</f>
        <v/>
      </c>
      <c r="N33" s="33">
        <f>Staff27*(1-K_V)+K_V*N64</f>
        <v/>
      </c>
      <c r="O33" s="33">
        <f>Staff27*(1-K_V)+K_V*O64</f>
        <v/>
      </c>
      <c r="P33" s="33">
        <f>Staff27*(1-K_V)+K_V*P64</f>
        <v/>
      </c>
      <c r="Q33" s="33">
        <f>Staff27*(1-K_V)+K_V*Q64</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per staff member</t>
        </is>
      </c>
      <c r="C63" s="39">
        <f>IF(RatioMode="partial",Ratio27+(RatioTarget-Ratio27)*MIN(MAX((C$4-2027)/5,0),1),Ratio27)</f>
        <v/>
      </c>
      <c r="D63" s="39">
        <f>IF(RatioMode="partial",Ratio27+(RatioTarget-Ratio27)*MIN(MAX((D$4-2027)/5,0),1),Ratio27)</f>
        <v/>
      </c>
      <c r="E63" s="39">
        <f>IF(RatioMode="partial",Ratio27+(RatioTarget-Ratio27)*MIN(MAX((E$4-2027)/5,0),1),Ratio27)</f>
        <v/>
      </c>
      <c r="F63" s="39">
        <f>IF(RatioMode="partial",Ratio27+(RatioTarget-Ratio27)*MIN(MAX((F$4-2027)/5,0),1),Ratio27)</f>
        <v/>
      </c>
      <c r="G63" s="39">
        <f>IF(RatioMode="partial",Ratio27+(RatioTarget-Ratio27)*MIN(MAX((G$4-2027)/5,0),1),Ratio27)</f>
        <v/>
      </c>
      <c r="H63" s="39">
        <f>IF(RatioMode="partial",Ratio27+(RatioTarget-Ratio27)*MIN(MAX((H$4-2027)/5,0),1),Ratio27)</f>
        <v/>
      </c>
      <c r="I63" s="39">
        <f>IF(RatioMode="partial",Ratio27+(RatioTarget-Ratio27)*MIN(MAX((I$4-2027)/5,0),1),Ratio27)</f>
        <v/>
      </c>
      <c r="J63" s="39">
        <f>IF(RatioMode="partial",Ratio27+(RatioTarget-Ratio27)*MIN(MAX((J$4-2027)/5,0),1),Ratio27)</f>
        <v/>
      </c>
      <c r="K63" s="39">
        <f>IF(RatioMode="partial",Ratio27+(RatioTarget-Ratio27)*MIN(MAX((K$4-2027)/5,0),1),Ratio27)</f>
        <v/>
      </c>
      <c r="L63" s="39">
        <f>IF(RatioMode="partial",Ratio27+(RatioTarget-Ratio27)*MIN(MAX((L$4-2027)/5,0),1),Ratio27)</f>
        <v/>
      </c>
      <c r="M63" s="39">
        <f>IF(RatioMode="partial",Ratio27+(RatioTarget-Ratio27)*MIN(MAX((M$4-2027)/5,0),1),Ratio27)</f>
        <v/>
      </c>
      <c r="N63" s="39">
        <f>IF(RatioMode="partial",Ratio27+(RatioTarget-Ratio27)*MIN(MAX((N$4-2027)/5,0),1),Ratio27)</f>
        <v/>
      </c>
      <c r="O63" s="39">
        <f>IF(RatioMode="partial",Ratio27+(RatioTarget-Ratio27)*MIN(MAX((O$4-2027)/5,0),1),Ratio27)</f>
        <v/>
      </c>
      <c r="P63" s="39">
        <f>IF(RatioMode="partial",Ratio27+(RatioTarget-Ratio27)*MIN(MAX((P$4-2027)/5,0),1),Ratio27)</f>
        <v/>
      </c>
      <c r="Q63" s="39">
        <f>IF(RatioMode="partial",Ratio27+(RatioTarget-Ratio27)*MIN(MAX((Q$4-2027)/5,0),1),Ratio27)</f>
        <v/>
      </c>
    </row>
    <row r="64">
      <c r="A64" t="inlineStr">
        <is>
          <t>Staff implied by the staffing rule</t>
        </is>
      </c>
      <c r="C64"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63))))</f>
        <v/>
      </c>
      <c r="D64"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63))))</f>
        <v/>
      </c>
      <c r="E64"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63))))</f>
        <v/>
      </c>
      <c r="F64"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63))))</f>
        <v/>
      </c>
      <c r="G64"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63))))</f>
        <v/>
      </c>
      <c r="H64"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63))))</f>
        <v/>
      </c>
      <c r="I64"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63))))</f>
        <v/>
      </c>
      <c r="J64"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63))))</f>
        <v/>
      </c>
      <c r="K64"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63))))</f>
        <v/>
      </c>
      <c r="L64"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63))))</f>
        <v/>
      </c>
      <c r="M64"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63))))</f>
        <v/>
      </c>
      <c r="N64"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63))))</f>
        <v/>
      </c>
      <c r="O64"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63))))</f>
        <v/>
      </c>
      <c r="P64"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63))))</f>
        <v/>
      </c>
      <c r="Q64"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63))))</f>
        <v/>
      </c>
    </row>
    <row r="65">
      <c r="A65" t="inlineStr">
        <is>
          <t>Town pay index, weighted for Public Safety</t>
        </is>
      </c>
      <c r="D65" s="40">
        <f>K_psD*D56+(1-K_psD)*D55</f>
        <v/>
      </c>
      <c r="E65" s="40">
        <f>K_psD*E56+(1-K_psD)*E55</f>
        <v/>
      </c>
      <c r="F65" s="40">
        <f>K_psD*F56+(1-K_psD)*F55</f>
        <v/>
      </c>
      <c r="G65" s="40">
        <f>K_psD*G56+(1-K_psD)*G55</f>
        <v/>
      </c>
      <c r="H65" s="40">
        <f>K_psD*H56+(1-K_psD)*H55</f>
        <v/>
      </c>
      <c r="I65" s="40">
        <f>K_psD*I56+(1-K_psD)*I55</f>
        <v/>
      </c>
      <c r="J65" s="40">
        <f>K_psD*J56+(1-K_psD)*J55</f>
        <v/>
      </c>
      <c r="K65" s="40">
        <f>K_psD*K56+(1-K_psD)*K55</f>
        <v/>
      </c>
      <c r="L65" s="40">
        <f>K_psD*L56+(1-K_psD)*L55</f>
        <v/>
      </c>
      <c r="M65" s="40">
        <f>K_psD*M56+(1-K_psD)*M55</f>
        <v/>
      </c>
      <c r="N65" s="40">
        <f>K_psD*N56+(1-K_psD)*N55</f>
        <v/>
      </c>
      <c r="O65" s="40">
        <f>K_psD*O56+(1-K_psD)*O55</f>
        <v/>
      </c>
      <c r="P65" s="40">
        <f>K_psD*P56+(1-K_psD)*P55</f>
        <v/>
      </c>
      <c r="Q65" s="40">
        <f>K_psD*Q56+(1-K_psD)*Q55</f>
        <v/>
      </c>
    </row>
    <row r="66">
      <c r="A66" t="inlineStr">
        <is>
          <t>Added commercial employees</t>
        </is>
      </c>
      <c r="D66" s="37">
        <f>D53/K_SqftPerEmp+K_ChcaEmp*D54</f>
        <v/>
      </c>
      <c r="E66" s="37">
        <f>E53/K_SqftPerEmp+K_ChcaEmp*E54</f>
        <v/>
      </c>
      <c r="F66" s="37">
        <f>F53/K_SqftPerEmp+K_ChcaEmp*F54</f>
        <v/>
      </c>
      <c r="G66" s="37">
        <f>G53/K_SqftPerEmp+K_ChcaEmp*G54</f>
        <v/>
      </c>
      <c r="H66" s="37">
        <f>H53/K_SqftPerEmp+K_ChcaEmp*H54</f>
        <v/>
      </c>
      <c r="I66" s="37">
        <f>I53/K_SqftPerEmp+K_ChcaEmp*I54</f>
        <v/>
      </c>
      <c r="J66" s="37">
        <f>J53/K_SqftPerEmp+K_ChcaEmp*J54</f>
        <v/>
      </c>
      <c r="K66" s="37">
        <f>K53/K_SqftPerEmp+K_ChcaEmp*K54</f>
        <v/>
      </c>
      <c r="L66" s="37">
        <f>L53/K_SqftPerEmp+K_ChcaEmp*L54</f>
        <v/>
      </c>
      <c r="M66" s="37">
        <f>M53/K_SqftPerEmp+K_ChcaEmp*M54</f>
        <v/>
      </c>
      <c r="N66" s="37">
        <f>N53/K_SqftPerEmp+K_ChcaEmp*N54</f>
        <v/>
      </c>
      <c r="O66" s="37">
        <f>O53/K_SqftPerEmp+K_ChcaEmp*O54</f>
        <v/>
      </c>
      <c r="P66" s="37">
        <f>P53/K_SqftPerEmp+K_ChcaEmp*P54</f>
        <v/>
      </c>
      <c r="Q66" s="37">
        <f>Q53/K_SqftPerEmp+K_ChcaEmp*Q54</f>
        <v/>
      </c>
    </row>
    <row r="67">
      <c r="A67" t="inlineStr">
        <is>
          <t>Payroll index, Town and school staff, weighted by FY2027 pay</t>
        </is>
      </c>
      <c r="D67" s="40">
        <f>(A_TD*K_pD*D65+A_Sch*K_SPS*D57*D33/Staff27)/(A_TD*K_pD+A_Sch*K_SPS)</f>
        <v/>
      </c>
      <c r="E67" s="40">
        <f>(A_TD*K_pD*E65+A_Sch*K_SPS*E57*E33/Staff27)/(A_TD*K_pD+A_Sch*K_SPS)</f>
        <v/>
      </c>
      <c r="F67" s="40">
        <f>(A_TD*K_pD*F65+A_Sch*K_SPS*F57*F33/Staff27)/(A_TD*K_pD+A_Sch*K_SPS)</f>
        <v/>
      </c>
      <c r="G67" s="40">
        <f>(A_TD*K_pD*G65+A_Sch*K_SPS*G57*G33/Staff27)/(A_TD*K_pD+A_Sch*K_SPS)</f>
        <v/>
      </c>
      <c r="H67" s="40">
        <f>(A_TD*K_pD*H65+A_Sch*K_SPS*H57*H33/Staff27)/(A_TD*K_pD+A_Sch*K_SPS)</f>
        <v/>
      </c>
      <c r="I67" s="40">
        <f>(A_TD*K_pD*I65+A_Sch*K_SPS*I57*I33/Staff27)/(A_TD*K_pD+A_Sch*K_SPS)</f>
        <v/>
      </c>
      <c r="J67" s="40">
        <f>(A_TD*K_pD*J65+A_Sch*K_SPS*J57*J33/Staff27)/(A_TD*K_pD+A_Sch*K_SPS)</f>
        <v/>
      </c>
      <c r="K67" s="40">
        <f>(A_TD*K_pD*K65+A_Sch*K_SPS*K57*K33/Staff27)/(A_TD*K_pD+A_Sch*K_SPS)</f>
        <v/>
      </c>
      <c r="L67" s="40">
        <f>(A_TD*K_pD*L65+A_Sch*K_SPS*L57*L33/Staff27)/(A_TD*K_pD+A_Sch*K_SPS)</f>
        <v/>
      </c>
      <c r="M67" s="40">
        <f>(A_TD*K_pD*M65+A_Sch*K_SPS*M57*M33/Staff27)/(A_TD*K_pD+A_Sch*K_SPS)</f>
        <v/>
      </c>
      <c r="N67" s="40">
        <f>(A_TD*K_pD*N65+A_Sch*K_SPS*N57*N33/Staff27)/(A_TD*K_pD+A_Sch*K_SPS)</f>
        <v/>
      </c>
      <c r="O67" s="40">
        <f>(A_TD*K_pD*O65+A_Sch*K_SPS*O57*O33/Staff27)/(A_TD*K_pD+A_Sch*K_SPS)</f>
        <v/>
      </c>
      <c r="P67" s="40">
        <f>(A_TD*K_pD*P65+A_Sch*K_SPS*P57*P33/Staff27)/(A_TD*K_pD+A_Sch*K_SPS)</f>
        <v/>
      </c>
      <c r="Q67" s="40">
        <f>(A_TD*K_pD*Q65+A_Sch*K_SPS*Q57*Q33/Staff27)/(A_TD*K_pD+A_Sch*K_SPS)</f>
        <v/>
      </c>
    </row>
    <row r="68">
      <c r="A68" t="inlineStr">
        <is>
          <t>Pensions on schedule (before any slip)</t>
        </is>
      </c>
      <c r="D68" s="22">
        <f>A_Pen</f>
        <v/>
      </c>
      <c r="E68" s="22">
        <f>Data!E12</f>
        <v/>
      </c>
      <c r="F68" s="22">
        <f>Data!F12</f>
        <v/>
      </c>
      <c r="G68" s="22">
        <f>Data!G12</f>
        <v/>
      </c>
      <c r="H68" s="22">
        <f>Data!H12</f>
        <v/>
      </c>
      <c r="I68" s="22">
        <f>Data!$H$12*(1+PayTown+K_PenNCPrem)^(I$4-2031)</f>
        <v/>
      </c>
      <c r="J68" s="22">
        <f>Data!$H$12*(1+PayTown+K_PenNCPrem)^(J$4-2031)</f>
        <v/>
      </c>
      <c r="K68" s="22">
        <f>Data!$H$12*(1+PayTown+K_PenNCPrem)^(K$4-2031)</f>
        <v/>
      </c>
      <c r="L68" s="22">
        <f>Data!$H$12*(1+PayTown+K_PenNCPrem)^(L$4-2031)</f>
        <v/>
      </c>
      <c r="M68" s="22">
        <f>Data!$H$12*(1+PayTown+K_PenNCPrem)^(M$4-2031)</f>
        <v/>
      </c>
      <c r="N68" s="22">
        <f>Data!$H$12*(1+PayTown+K_PenNCPrem)^(N$4-2031)</f>
        <v/>
      </c>
      <c r="O68" s="22">
        <f>Data!$H$12*(1+PayTown+K_PenNCPrem)^(O$4-2031)</f>
        <v/>
      </c>
      <c r="P68" s="22">
        <f>Data!$H$12*(1+PayTown+K_PenNCPrem)^(P$4-2031)</f>
        <v/>
      </c>
      <c r="Q68" s="22">
        <f>Data!$H$12*(1+PayTown+K_PenNCPrem)^(Q$4-2031)</f>
        <v/>
      </c>
    </row>
    <row r="69">
      <c r="A69" t="inlineStr">
        <is>
          <t>Town and school staff</t>
        </is>
      </c>
      <c r="D69" s="37">
        <f>K_TownFTE+D33</f>
        <v/>
      </c>
      <c r="E69" s="37">
        <f>K_TownFTE+E33</f>
        <v/>
      </c>
      <c r="F69" s="37">
        <f>K_TownFTE+F33</f>
        <v/>
      </c>
      <c r="G69" s="37">
        <f>K_TownFTE+G33</f>
        <v/>
      </c>
      <c r="H69" s="37">
        <f>K_TownFTE+H33</f>
        <v/>
      </c>
      <c r="I69" s="37">
        <f>K_TownFTE+I33</f>
        <v/>
      </c>
      <c r="J69" s="37">
        <f>K_TownFTE+J33</f>
        <v/>
      </c>
      <c r="K69" s="37">
        <f>K_TownFTE+K33</f>
        <v/>
      </c>
      <c r="L69" s="37">
        <f>K_TownFTE+L33</f>
        <v/>
      </c>
      <c r="M69" s="37">
        <f>K_TownFTE+M33</f>
        <v/>
      </c>
      <c r="N69" s="37">
        <f>K_TownFTE+N33</f>
        <v/>
      </c>
      <c r="O69" s="37">
        <f>K_TownFTE+O33</f>
        <v/>
      </c>
      <c r="P69" s="37">
        <f>K_TownFTE+P33</f>
        <v/>
      </c>
      <c r="Q69" s="37">
        <f>K_TownFTE+Q33</f>
        <v/>
      </c>
    </row>
    <row r="70">
      <c r="A70" t="inlineStr">
        <is>
          <t>Health plan subscribers index</t>
        </is>
      </c>
      <c r="D70" s="40">
        <f>K_ActShare*D69/AllStaff27+(1-K_ActShare)*(1+K_RetGrowth)^(D$4-2027)</f>
        <v/>
      </c>
      <c r="E70" s="40">
        <f>K_ActShare*E69/AllStaff27+(1-K_ActShare)*(1+K_RetGrowth)^(E$4-2027)</f>
        <v/>
      </c>
      <c r="F70" s="40">
        <f>K_ActShare*F69/AllStaff27+(1-K_ActShare)*(1+K_RetGrowth)^(F$4-2027)</f>
        <v/>
      </c>
      <c r="G70" s="40">
        <f>K_ActShare*G69/AllStaff27+(1-K_ActShare)*(1+K_RetGrowth)^(G$4-2027)</f>
        <v/>
      </c>
      <c r="H70" s="40">
        <f>K_ActShare*H69/AllStaff27+(1-K_ActShare)*(1+K_RetGrowth)^(H$4-2027)</f>
        <v/>
      </c>
      <c r="I70" s="40">
        <f>K_ActShare*I69/AllStaff27+(1-K_ActShare)*(1+K_RetGrowth)^(I$4-2027)</f>
        <v/>
      </c>
      <c r="J70" s="40">
        <f>K_ActShare*J69/AllStaff27+(1-K_ActShare)*(1+K_RetGrowth)^(J$4-2027)</f>
        <v/>
      </c>
      <c r="K70" s="40">
        <f>K_ActShare*K69/AllStaff27+(1-K_ActShare)*(1+K_RetGrowth)^(K$4-2027)</f>
        <v/>
      </c>
      <c r="L70" s="40">
        <f>K_ActShare*L69/AllStaff27+(1-K_ActShare)*(1+K_RetGrowth)^(L$4-2027)</f>
        <v/>
      </c>
      <c r="M70" s="40">
        <f>K_ActShare*M69/AllStaff27+(1-K_ActShare)*(1+K_RetGrowth)^(M$4-2027)</f>
        <v/>
      </c>
      <c r="N70" s="40">
        <f>K_ActShare*N69/AllStaff27+(1-K_ActShare)*(1+K_RetGrowth)^(N$4-2027)</f>
        <v/>
      </c>
      <c r="O70" s="40">
        <f>K_ActShare*O69/AllStaff27+(1-K_ActShare)*(1+K_RetGrowth)^(O$4-2027)</f>
        <v/>
      </c>
      <c r="P70" s="40">
        <f>K_ActShare*P69/AllStaff27+(1-K_ActShare)*(1+K_RetGrowth)^(P$4-2027)</f>
        <v/>
      </c>
      <c r="Q70" s="40">
        <f>K_ActShare*Q69/AllStaff27+(1-K_ActShare)*(1+K_RetGrowth)^(Q$4-2027)</f>
        <v/>
      </c>
    </row>
    <row r="71">
      <c r="A71" t="inlineStr">
        <is>
          <t>State aid</t>
        </is>
      </c>
      <c r="C71" s="22">
        <f>R_SA2026</f>
        <v/>
      </c>
      <c r="D71" s="22">
        <f>R_SA2027*(1+StateAidGrowth)^(D$4-2027)</f>
        <v/>
      </c>
      <c r="E71" s="22">
        <f>R_SA2027*(1+StateAidGrowth)^(E$4-2027)</f>
        <v/>
      </c>
      <c r="F71" s="22">
        <f>R_SA2027*(1+StateAidGrowth)^(F$4-2027)</f>
        <v/>
      </c>
      <c r="G71" s="22">
        <f>R_SA2027*(1+StateAidGrowth)^(G$4-2027)</f>
        <v/>
      </c>
      <c r="H71" s="22">
        <f>R_SA2027*(1+StateAidGrowth)^(H$4-2027)</f>
        <v/>
      </c>
      <c r="I71" s="22">
        <f>R_SA2027*(1+StateAidGrowth)^(I$4-2027)</f>
        <v/>
      </c>
      <c r="J71" s="22">
        <f>R_SA2027*(1+StateAidGrowth)^(J$4-2027)</f>
        <v/>
      </c>
      <c r="K71" s="22">
        <f>R_SA2027*(1+StateAidGrowth)^(K$4-2027)</f>
        <v/>
      </c>
      <c r="L71" s="22">
        <f>R_SA2027*(1+StateAidGrowth)^(L$4-2027)</f>
        <v/>
      </c>
      <c r="M71" s="22">
        <f>R_SA2027*(1+StateAidGrowth)^(M$4-2027)</f>
        <v/>
      </c>
      <c r="N71" s="22">
        <f>R_SA2027*(1+StateAidGrowth)^(N$4-2027)</f>
        <v/>
      </c>
      <c r="O71" s="22">
        <f>R_SA2027*(1+StateAidGrowth)^(O$4-2027)</f>
        <v/>
      </c>
      <c r="P71" s="22">
        <f>R_SA2027*(1+StateAidGrowth)^(P$4-2027)</f>
        <v/>
      </c>
      <c r="Q71" s="22">
        <f>R_SA2027*(1+StateAidGrowth)^(Q$4-2027)</f>
        <v/>
      </c>
    </row>
    <row r="72">
      <c r="A72" t="inlineStr">
        <is>
          <t>Local receipts, actual</t>
        </is>
      </c>
      <c r="C72" s="22">
        <f>C50+R_LRresid2025*(1+ReceiptsGrowth)^(C$4-2025)</f>
        <v/>
      </c>
      <c r="D72" s="22">
        <f>D50+R_LRresid2025*(1+ReceiptsGrowth)^(D$4-2025)</f>
        <v/>
      </c>
      <c r="E72" s="22">
        <f>E50+R_LRresid2025*(1+ReceiptsGrowth)^(E$4-2025)</f>
        <v/>
      </c>
      <c r="F72" s="22">
        <f>F50+R_LRresid2025*(1+ReceiptsGrowth)^(F$4-2025)</f>
        <v/>
      </c>
      <c r="G72" s="22">
        <f>G50+R_LRresid2025*(1+ReceiptsGrowth)^(G$4-2025)</f>
        <v/>
      </c>
      <c r="H72" s="22">
        <f>H50+R_LRresid2025*(1+ReceiptsGrowth)^(H$4-2025)</f>
        <v/>
      </c>
      <c r="I72" s="22">
        <f>I50+R_LRresid2025*(1+ReceiptsGrowth)^(I$4-2025)</f>
        <v/>
      </c>
      <c r="J72" s="22">
        <f>J50+R_LRresid2025*(1+ReceiptsGrowth)^(J$4-2025)</f>
        <v/>
      </c>
      <c r="K72" s="22">
        <f>K50+R_LRresid2025*(1+ReceiptsGrowth)^(K$4-2025)</f>
        <v/>
      </c>
      <c r="L72" s="22">
        <f>L50+R_LRresid2025*(1+ReceiptsGrowth)^(L$4-2025)</f>
        <v/>
      </c>
      <c r="M72" s="22">
        <f>M50+R_LRresid2025*(1+ReceiptsGrowth)^(M$4-2025)</f>
        <v/>
      </c>
      <c r="N72" s="22">
        <f>N50+R_LRresid2025*(1+ReceiptsGrowth)^(N$4-2025)</f>
        <v/>
      </c>
      <c r="O72" s="22">
        <f>O50+R_LRresid2025*(1+ReceiptsGrowth)^(O$4-2025)</f>
        <v/>
      </c>
      <c r="P72" s="22">
        <f>P50+R_LRresid2025*(1+ReceiptsGrowth)^(P$4-2025)</f>
        <v/>
      </c>
      <c r="Q72" s="22">
        <f>Q50+R_LRresid2025*(1+ReceiptsGrowth)^(Q$4-2025)</f>
        <v/>
      </c>
    </row>
    <row r="73">
      <c r="A73" t="inlineStr">
        <is>
          <t>Further override</t>
        </is>
      </c>
      <c r="C73" s="22">
        <f>IF(AND(OvAmt&gt;0,C$4&gt;=OvYear),OvAmt*(1+K_LevyCap)^(C$4-OvYear),0)</f>
        <v/>
      </c>
      <c r="D73" s="22">
        <f>IF(AND(OvAmt&gt;0,D$4&gt;=OvYear),OvAmt*(1+K_LevyCap)^(D$4-OvYear),0)</f>
        <v/>
      </c>
      <c r="E73" s="22">
        <f>IF(AND(OvAmt&gt;0,E$4&gt;=OvYear),OvAmt*(1+K_LevyCap)^(E$4-OvYear),0)</f>
        <v/>
      </c>
      <c r="F73" s="22">
        <f>IF(AND(OvAmt&gt;0,F$4&gt;=OvYear),OvAmt*(1+K_LevyCap)^(F$4-OvYear),0)</f>
        <v/>
      </c>
      <c r="G73" s="22">
        <f>IF(AND(OvAmt&gt;0,G$4&gt;=OvYear),OvAmt*(1+K_LevyCap)^(G$4-OvYear),0)</f>
        <v/>
      </c>
      <c r="H73" s="22">
        <f>IF(AND(OvAmt&gt;0,H$4&gt;=OvYear),OvAmt*(1+K_LevyCap)^(H$4-OvYear),0)</f>
        <v/>
      </c>
      <c r="I73" s="22">
        <f>IF(AND(OvAmt&gt;0,I$4&gt;=OvYear),OvAmt*(1+K_LevyCap)^(I$4-OvYear),0)</f>
        <v/>
      </c>
      <c r="J73" s="22">
        <f>IF(AND(OvAmt&gt;0,J$4&gt;=OvYear),OvAmt*(1+K_LevyCap)^(J$4-OvYear),0)</f>
        <v/>
      </c>
      <c r="K73" s="22">
        <f>IF(AND(OvAmt&gt;0,K$4&gt;=OvYear),OvAmt*(1+K_LevyCap)^(K$4-OvYear),0)</f>
        <v/>
      </c>
      <c r="L73" s="22">
        <f>IF(AND(OvAmt&gt;0,L$4&gt;=OvYear),OvAmt*(1+K_LevyCap)^(L$4-OvYear),0)</f>
        <v/>
      </c>
      <c r="M73" s="22">
        <f>IF(AND(OvAmt&gt;0,M$4&gt;=OvYear),OvAmt*(1+K_LevyCap)^(M$4-OvYear),0)</f>
        <v/>
      </c>
      <c r="N73" s="22">
        <f>IF(AND(OvAmt&gt;0,N$4&gt;=OvYear),OvAmt*(1+K_LevyCap)^(N$4-OvYear),0)</f>
        <v/>
      </c>
      <c r="O73" s="22">
        <f>IF(AND(OvAmt&gt;0,O$4&gt;=OvYear),OvAmt*(1+K_LevyCap)^(O$4-OvYear),0)</f>
        <v/>
      </c>
      <c r="P73" s="22">
        <f>IF(AND(OvAmt&gt;0,P$4&gt;=OvYear),OvAmt*(1+K_LevyCap)^(P$4-OvYear),0)</f>
        <v/>
      </c>
      <c r="Q73" s="22">
        <f>IF(AND(OvAmt&gt;0,Q$4&gt;=OvYear),OvAmt*(1+K_LevyCap)^(Q$4-OvYear),0)</f>
        <v/>
      </c>
    </row>
    <row r="74">
      <c r="A74" t="inlineStr">
        <is>
          <t>Revenue before receipts and free cash</t>
        </is>
      </c>
      <c r="C74" s="22">
        <f>C47+C71+C49+C73</f>
        <v/>
      </c>
      <c r="D74" s="22">
        <f>D47+D71+D49+D73</f>
        <v/>
      </c>
      <c r="E74" s="22">
        <f>E47+E71+E49+E73</f>
        <v/>
      </c>
      <c r="F74" s="22">
        <f>F47+F71+F49+F73</f>
        <v/>
      </c>
      <c r="G74" s="22">
        <f>G47+G71+G49+G73</f>
        <v/>
      </c>
      <c r="H74" s="22">
        <f>H47+H71+H49+H73</f>
        <v/>
      </c>
      <c r="I74" s="22">
        <f>I47+I71+I49+I73</f>
        <v/>
      </c>
      <c r="J74" s="22">
        <f>J47+J71+J49+J73</f>
        <v/>
      </c>
      <c r="K74" s="22">
        <f>K47+K71+K49+K73</f>
        <v/>
      </c>
      <c r="L74" s="22">
        <f>L47+L71+L49+L73</f>
        <v/>
      </c>
      <c r="M74" s="22">
        <f>M47+M71+M49+M73</f>
        <v/>
      </c>
      <c r="N74" s="22">
        <f>N47+N71+N49+N73</f>
        <v/>
      </c>
      <c r="O74" s="22">
        <f>O47+O71+O49+O73</f>
        <v/>
      </c>
      <c r="P74" s="22">
        <f>P47+P71+P49+P73</f>
        <v/>
      </c>
      <c r="Q74" s="22">
        <f>Q47+Q71+Q49+Q73</f>
        <v/>
      </c>
    </row>
    <row r="75">
      <c r="A75" t="inlineStr">
        <is>
          <t>Local receipts, budgeted</t>
        </is>
      </c>
      <c r="C75" s="22">
        <f>Data!C22</f>
        <v/>
      </c>
      <c r="D75" s="22">
        <f>Data!D22</f>
        <v/>
      </c>
      <c r="E75" s="22">
        <f>E72*R_BudgetRatio</f>
        <v/>
      </c>
      <c r="F75" s="22">
        <f>F72*R_BudgetRatio</f>
        <v/>
      </c>
      <c r="G75" s="22">
        <f>G72*R_BudgetRatio</f>
        <v/>
      </c>
      <c r="H75" s="22">
        <f>H72*R_BudgetRatio</f>
        <v/>
      </c>
      <c r="I75" s="22">
        <f>I72*R_BudgetRatio</f>
        <v/>
      </c>
      <c r="J75" s="22">
        <f>J72*R_BudgetRatio</f>
        <v/>
      </c>
      <c r="K75" s="22">
        <f>K72*R_BudgetRatio</f>
        <v/>
      </c>
      <c r="L75" s="22">
        <f>L72*R_BudgetRatio</f>
        <v/>
      </c>
      <c r="M75" s="22">
        <f>M72*R_BudgetRatio</f>
        <v/>
      </c>
      <c r="N75" s="22">
        <f>N72*R_BudgetRatio</f>
        <v/>
      </c>
      <c r="O75" s="22">
        <f>O72*R_BudgetRatio</f>
        <v/>
      </c>
      <c r="P75" s="22">
        <f>P72*R_BudgetRatio</f>
        <v/>
      </c>
      <c r="Q75" s="22">
        <f>Q72*R_BudgetRatio</f>
        <v/>
      </c>
    </row>
    <row r="76">
      <c r="A76" t="inlineStr">
        <is>
          <t>Free cash</t>
        </is>
      </c>
      <c r="C76" s="22">
        <f>Data!C24</f>
        <v/>
      </c>
      <c r="D76" s="22">
        <f>Data!D24</f>
        <v/>
      </c>
      <c r="E76" s="22">
        <f>R_ApprShare*C79</f>
        <v/>
      </c>
      <c r="F76" s="22">
        <f>R_ApprShare*D79</f>
        <v/>
      </c>
      <c r="G76" s="22">
        <f>R_ApprShare*E79</f>
        <v/>
      </c>
      <c r="H76" s="22">
        <f>R_ApprShare*F79</f>
        <v/>
      </c>
      <c r="I76" s="22">
        <f>R_ApprShare*G79</f>
        <v/>
      </c>
      <c r="J76" s="22">
        <f>R_ApprShare*H79</f>
        <v/>
      </c>
      <c r="K76" s="22">
        <f>R_ApprShare*I79</f>
        <v/>
      </c>
      <c r="L76" s="22">
        <f>R_ApprShare*J79</f>
        <v/>
      </c>
      <c r="M76" s="22">
        <f>R_ApprShare*K79</f>
        <v/>
      </c>
      <c r="N76" s="22">
        <f>R_ApprShare*L79</f>
        <v/>
      </c>
      <c r="O76" s="22">
        <f>R_ApprShare*M79</f>
        <v/>
      </c>
      <c r="P76" s="22">
        <f>R_ApprShare*N79</f>
        <v/>
      </c>
      <c r="Q76" s="22">
        <f>R_ApprShare*O79</f>
        <v/>
      </c>
    </row>
    <row r="77">
      <c r="A77" t="inlineStr">
        <is>
          <t>Revenue including debt exclusion tax</t>
        </is>
      </c>
      <c r="C77" s="22">
        <f>C74+C75+C76</f>
        <v/>
      </c>
      <c r="D77" s="22">
        <f>D74+D75+D76</f>
        <v/>
      </c>
      <c r="E77" s="22">
        <f>E74+E75+E76</f>
        <v/>
      </c>
      <c r="F77" s="22">
        <f>F74+F75+F76</f>
        <v/>
      </c>
      <c r="G77" s="22">
        <f>G74+G75+G76</f>
        <v/>
      </c>
      <c r="H77" s="22">
        <f>H74+H75+H76</f>
        <v/>
      </c>
      <c r="I77" s="22">
        <f>I74+I75+I76</f>
        <v/>
      </c>
      <c r="J77" s="22">
        <f>J74+J75+J76</f>
        <v/>
      </c>
      <c r="K77" s="22">
        <f>K74+K75+K76</f>
        <v/>
      </c>
      <c r="L77" s="22">
        <f>L74+L75+L76</f>
        <v/>
      </c>
      <c r="M77" s="22">
        <f>M74+M75+M76</f>
        <v/>
      </c>
      <c r="N77" s="22">
        <f>N74+N75+N76</f>
        <v/>
      </c>
      <c r="O77" s="22">
        <f>O74+O75+O76</f>
        <v/>
      </c>
      <c r="P77" s="22">
        <f>P74+P75+P76</f>
        <v/>
      </c>
      <c r="Q77" s="22">
        <f>Q74+Q75+Q76</f>
        <v/>
      </c>
    </row>
    <row r="78">
      <c r="A78" t="inlineStr">
        <is>
          <t>Net revenue for the capital policy (less debt exclusions, free cash, non-appropriated items and any further override)</t>
        </is>
      </c>
      <c r="C78" s="22">
        <f>C77-C48-C76-C73-K_NonApp*(1+K_NonAppG)^(C$4-2027)</f>
        <v/>
      </c>
      <c r="D78" s="22">
        <f>D77-D48-D76-D73-K_NonApp*(1+K_NonAppG)^(D$4-2027)</f>
        <v/>
      </c>
      <c r="E78" s="22">
        <f>E77-E48-E76-E73-K_NonApp*(1+K_NonAppG)^(E$4-2027)</f>
        <v/>
      </c>
      <c r="F78" s="22">
        <f>F77-F48-F76-F73-K_NonApp*(1+K_NonAppG)^(F$4-2027)</f>
        <v/>
      </c>
      <c r="G78" s="22">
        <f>G77-G48-G76-G73-K_NonApp*(1+K_NonAppG)^(G$4-2027)</f>
        <v/>
      </c>
      <c r="H78" s="22">
        <f>H77-H48-H76-H73-K_NonApp*(1+K_NonAppG)^(H$4-2027)</f>
        <v/>
      </c>
      <c r="I78" s="22">
        <f>I77-I48-I76-I73-K_NonApp*(1+K_NonAppG)^(I$4-2027)</f>
        <v/>
      </c>
      <c r="J78" s="22">
        <f>J77-J48-J76-J73-K_NonApp*(1+K_NonAppG)^(J$4-2027)</f>
        <v/>
      </c>
      <c r="K78" s="22">
        <f>K77-K48-K76-K73-K_NonApp*(1+K_NonAppG)^(K$4-2027)</f>
        <v/>
      </c>
      <c r="L78" s="22">
        <f>L77-L48-L76-L73-K_NonApp*(1+K_NonAppG)^(L$4-2027)</f>
        <v/>
      </c>
      <c r="M78" s="22">
        <f>M77-M48-M76-M73-K_NonApp*(1+K_NonAppG)^(M$4-2027)</f>
        <v/>
      </c>
      <c r="N78" s="22">
        <f>N77-N48-N76-N73-K_NonApp*(1+K_NonAppG)^(N$4-2027)</f>
        <v/>
      </c>
      <c r="O78" s="22">
        <f>O77-O48-O76-O73-K_NonApp*(1+K_NonAppG)^(O$4-2027)</f>
        <v/>
      </c>
      <c r="P78" s="22">
        <f>P77-P48-P76-P73-K_NonApp*(1+K_NonAppG)^(P$4-2027)</f>
        <v/>
      </c>
      <c r="Q78" s="22">
        <f>Q77-Q48-Q76-Q73-K_NonApp*(1+K_NonAppG)^(Q$4-2027)</f>
        <v/>
      </c>
    </row>
    <row r="79">
      <c r="A79" t="inlineStr">
        <is>
          <t>Year-end surplus (returns as free cash two years later)</t>
        </is>
      </c>
      <c r="C79" s="22">
        <f>(C72-C75)+R_OtherSurplus*(C74+C72)</f>
        <v/>
      </c>
      <c r="D79" s="22">
        <f>(D72-D75)+R_OtherSurplus*(D74+D72)</f>
        <v/>
      </c>
      <c r="E79" s="22">
        <f>(E72-E75)+R_OtherSurplus*(E74+E72)</f>
        <v/>
      </c>
      <c r="F79" s="22">
        <f>(F72-F75)+R_OtherSurplus*(F74+F72)</f>
        <v/>
      </c>
      <c r="G79" s="22">
        <f>(G72-G75)+R_OtherSurplus*(G74+G72)</f>
        <v/>
      </c>
      <c r="H79" s="22">
        <f>(H72-H75)+R_OtherSurplus*(H74+H72)</f>
        <v/>
      </c>
      <c r="I79" s="22">
        <f>(I72-I75)+R_OtherSurplus*(I74+I72)</f>
        <v/>
      </c>
      <c r="J79" s="22">
        <f>(J72-J75)+R_OtherSurplus*(J74+J72)</f>
        <v/>
      </c>
      <c r="K79" s="22">
        <f>(K72-K75)+R_OtherSurplus*(K74+K72)</f>
        <v/>
      </c>
      <c r="L79" s="22">
        <f>(L72-L75)+R_OtherSurplus*(L74+L72)</f>
        <v/>
      </c>
      <c r="M79" s="22">
        <f>(M72-M75)+R_OtherSurplus*(M74+M72)</f>
        <v/>
      </c>
      <c r="N79" s="22">
        <f>(N72-N75)+R_OtherSurplus*(N74+N72)</f>
        <v/>
      </c>
      <c r="O79" s="22">
        <f>(O72-O75)+R_OtherSurplus*(O74+O72)</f>
        <v/>
      </c>
      <c r="P79" s="22">
        <f>(P72-P75)+R_OtherSurplus*(P74+P72)</f>
        <v/>
      </c>
      <c r="Q79" s="22">
        <f>(Q72-Q75)+R_OtherSurplus*(Q74+Q72)</f>
        <v/>
      </c>
    </row>
    <row r="80">
      <c r="A80" t="inlineStr">
        <is>
          <t>Retiree health: service cost</t>
        </is>
      </c>
      <c r="D80" s="22">
        <f>K_OpebSC27</f>
        <v/>
      </c>
      <c r="E80" s="22">
        <f>D80*(1+Data!E21)</f>
        <v/>
      </c>
      <c r="F80" s="22">
        <f>E80*(1+Data!F21)</f>
        <v/>
      </c>
      <c r="G80" s="22">
        <f>F80*(1+Data!G21)</f>
        <v/>
      </c>
      <c r="H80" s="22">
        <f>G80*(1+Data!H21)</f>
        <v/>
      </c>
      <c r="I80" s="22">
        <f>H80*(1+Data!I21)</f>
        <v/>
      </c>
      <c r="J80" s="22">
        <f>I80*(1+Data!J21)</f>
        <v/>
      </c>
      <c r="K80" s="22">
        <f>J80*(1+Data!K21)</f>
        <v/>
      </c>
      <c r="L80" s="22">
        <f>K80*(1+K_OpebTrendLong)</f>
        <v/>
      </c>
      <c r="M80" s="22">
        <f>L80*(1+K_OpebTrendLong)</f>
        <v/>
      </c>
      <c r="N80" s="22">
        <f>M80*(1+K_OpebTrendLong)</f>
        <v/>
      </c>
      <c r="O80" s="22">
        <f>N80*(1+K_OpebTrendLong)</f>
        <v/>
      </c>
      <c r="P80" s="22">
        <f>O80*(1+K_OpebTrendLong)</f>
        <v/>
      </c>
      <c r="Q80" s="22">
        <f>P80*(1+K_OpebTrendLong)</f>
        <v/>
      </c>
    </row>
    <row r="81">
      <c r="A81" t="inlineStr">
        <is>
          <t>Retiree health: benefits paid (in group health)</t>
        </is>
      </c>
      <c r="D81" s="22">
        <f>K_OpebB27</f>
        <v/>
      </c>
      <c r="E81" s="22">
        <f>D81*(1+Data!E21)*(1+K_RetGrowth)</f>
        <v/>
      </c>
      <c r="F81" s="22">
        <f>E81*(1+Data!F21)*(1+K_RetGrowth)</f>
        <v/>
      </c>
      <c r="G81" s="22">
        <f>F81*(1+Data!G21)*(1+K_RetGrowth)</f>
        <v/>
      </c>
      <c r="H81" s="22">
        <f>G81*(1+Data!H21)*(1+K_RetGrowth)</f>
        <v/>
      </c>
      <c r="I81" s="22">
        <f>H81*(1+Data!I21)*(1+K_RetGrowth)</f>
        <v/>
      </c>
      <c r="J81" s="22">
        <f>I81*(1+Data!J21)*(1+K_RetGrowth)</f>
        <v/>
      </c>
      <c r="K81" s="22">
        <f>J81*(1+Data!K21)*(1+K_RetGrowth)</f>
        <v/>
      </c>
      <c r="L81" s="22">
        <f>K81*(1+K_OpebTrendLong)*(1+K_RetGrowth)</f>
        <v/>
      </c>
      <c r="M81" s="22">
        <f>L81*(1+K_OpebTrendLong)*(1+K_RetGrowth)</f>
        <v/>
      </c>
      <c r="N81" s="22">
        <f>M81*(1+K_OpebTrendLong)*(1+K_RetGrowth)</f>
        <v/>
      </c>
      <c r="O81" s="22">
        <f>N81*(1+K_OpebTrendLong)*(1+K_RetGrowth)</f>
        <v/>
      </c>
      <c r="P81" s="22">
        <f>O81*(1+K_OpebTrendLong)*(1+K_RetGrowth)</f>
        <v/>
      </c>
      <c r="Q81" s="22">
        <f>P81*(1+K_OpebTrendLong)*(1+K_RetGrowth)</f>
        <v/>
      </c>
    </row>
    <row r="82">
      <c r="A82" t="inlineStr">
        <is>
          <t>Retiree health: total liability, end of year</t>
        </is>
      </c>
      <c r="D82" s="22">
        <f>K_OpebTol27</f>
        <v/>
      </c>
      <c r="E82" s="22">
        <f>D82*(1+K_OpebRate)+E80-E81</f>
        <v/>
      </c>
      <c r="F82" s="22">
        <f>E82*(1+K_OpebRate)+F80-F81</f>
        <v/>
      </c>
      <c r="G82" s="22">
        <f>F82*(1+K_OpebRate)+G80-G81</f>
        <v/>
      </c>
      <c r="H82" s="22">
        <f>G82*(1+K_OpebRate)+H80-H81</f>
        <v/>
      </c>
      <c r="I82" s="22">
        <f>H82*(1+K_OpebRate)+I80-I81</f>
        <v/>
      </c>
      <c r="J82" s="22">
        <f>I82*(1+K_OpebRate)+J80-J81</f>
        <v/>
      </c>
      <c r="K82" s="22">
        <f>J82*(1+K_OpebRate)+K80-K81</f>
        <v/>
      </c>
      <c r="L82" s="22">
        <f>K82*(1+K_OpebRate)+L80-L81</f>
        <v/>
      </c>
      <c r="M82" s="22">
        <f>L82*(1+K_OpebRate)+M80-M81</f>
        <v/>
      </c>
      <c r="N82" s="22">
        <f>M82*(1+K_OpebRate)+N80-N81</f>
        <v/>
      </c>
      <c r="O82" s="22">
        <f>N82*(1+K_OpebRate)+O80-O81</f>
        <v/>
      </c>
      <c r="P82" s="22">
        <f>O82*(1+K_OpebRate)+P80-P81</f>
        <v/>
      </c>
      <c r="Q82" s="22">
        <f>P82*(1+K_OpebRate)+Q80-Q81</f>
        <v/>
      </c>
    </row>
    <row r="83">
      <c r="A83" t="inlineStr">
        <is>
          <t>Retiree health: trust, end of year</t>
        </is>
      </c>
      <c r="D83" s="22">
        <f>K_OpebA27</f>
        <v/>
      </c>
      <c r="E83" s="22">
        <f>MIN(D83*(1+K_OpebRate)+E85,E82)</f>
        <v/>
      </c>
      <c r="F83" s="22">
        <f>MIN(E83*(1+K_OpebRate)+F85,F82)</f>
        <v/>
      </c>
      <c r="G83" s="22">
        <f>MIN(F83*(1+K_OpebRate)+G85,G82)</f>
        <v/>
      </c>
      <c r="H83" s="22">
        <f>MIN(G83*(1+K_OpebRate)+H85,H82)</f>
        <v/>
      </c>
      <c r="I83" s="22">
        <f>MIN(H83*(1+K_OpebRate)+I85,I82)</f>
        <v/>
      </c>
      <c r="J83" s="22">
        <f>MIN(I83*(1+K_OpebRate)+J85,J82)</f>
        <v/>
      </c>
      <c r="K83" s="22">
        <f>MIN(J83*(1+K_OpebRate)+K85,K82)</f>
        <v/>
      </c>
      <c r="L83" s="22">
        <f>MIN(K83*(1+K_OpebRate)+L85,L82)</f>
        <v/>
      </c>
      <c r="M83" s="22">
        <f>MIN(L83*(1+K_OpebRate)+M85,M82)</f>
        <v/>
      </c>
      <c r="N83" s="22">
        <f>MIN(M83*(1+K_OpebRate)+N85,N82)</f>
        <v/>
      </c>
      <c r="O83" s="22">
        <f>MIN(N83*(1+K_OpebRate)+O85,O82)</f>
        <v/>
      </c>
      <c r="P83" s="22">
        <f>MIN(O83*(1+K_OpebRate)+P85,P82)</f>
        <v/>
      </c>
      <c r="Q83" s="22">
        <f>MIN(P83*(1+K_OpebRate)+Q85,Q82)</f>
        <v/>
      </c>
    </row>
    <row r="84">
      <c r="A84" t="inlineStr">
        <is>
          <t>Retiree health: planned deposit</t>
        </is>
      </c>
      <c r="D84" s="22">
        <f>A_OPEB</f>
        <v/>
      </c>
      <c r="E84" s="22">
        <f>Data!E13</f>
        <v/>
      </c>
      <c r="F84" s="22">
        <f>Data!F13</f>
        <v/>
      </c>
      <c r="G84" s="22">
        <f>Data!G13+IF(AND(AND(PensionSlip&gt;0,G$4&gt;=2030,G$4&lt;=2030+PensionSlip),Redirect=1),G68-G21,0)</f>
        <v/>
      </c>
      <c r="H84" s="22">
        <f>IF(Redirect=1,Data!$H$13,Data!$G$13+K_OPEBStep*(H$4-2030))+IF(AND(AND(PensionSlip&gt;0,H$4&gt;=2030,H$4&lt;=2030+PensionSlip),Redirect=1),H68-H21,0)</f>
        <v/>
      </c>
      <c r="I84" s="22">
        <f>IF(Redirect=1,Data!$H$13,Data!$G$13+K_OPEBStep*(I$4-2030))+IF(AND(AND(PensionSlip&gt;0,I$4&gt;=2030,I$4&lt;=2030+PensionSlip),Redirect=1),I68-I21,0)</f>
        <v/>
      </c>
      <c r="J84" s="22">
        <f>IF(Redirect=1,Data!$H$13,Data!$G$13+K_OPEBStep*(J$4-2030))+IF(AND(AND(PensionSlip&gt;0,J$4&gt;=2030,J$4&lt;=2030+PensionSlip),Redirect=1),J68-J21,0)</f>
        <v/>
      </c>
      <c r="K84" s="22">
        <f>IF(Redirect=1,Data!$H$13,Data!$G$13+K_OPEBStep*(K$4-2030))+IF(AND(AND(PensionSlip&gt;0,K$4&gt;=2030,K$4&lt;=2030+PensionSlip),Redirect=1),K68-K21,0)</f>
        <v/>
      </c>
      <c r="L84" s="22">
        <f>IF(Redirect=1,Data!$H$13,Data!$G$13+K_OPEBStep*(L$4-2030))+IF(AND(AND(PensionSlip&gt;0,L$4&gt;=2030,L$4&lt;=2030+PensionSlip),Redirect=1),L68-L21,0)</f>
        <v/>
      </c>
      <c r="M84" s="22">
        <f>IF(Redirect=1,Data!$H$13,Data!$G$13+K_OPEBStep*(M$4-2030))+IF(AND(AND(PensionSlip&gt;0,M$4&gt;=2030,M$4&lt;=2030+PensionSlip),Redirect=1),M68-M21,0)</f>
        <v/>
      </c>
      <c r="N84" s="22">
        <f>IF(Redirect=1,Data!$H$13,Data!$G$13+K_OPEBStep*(N$4-2030))+IF(AND(AND(PensionSlip&gt;0,N$4&gt;=2030,N$4&lt;=2030+PensionSlip),Redirect=1),N68-N21,0)</f>
        <v/>
      </c>
      <c r="O84" s="22">
        <f>IF(Redirect=1,Data!$H$13,Data!$G$13+K_OPEBStep*(O$4-2030))+IF(AND(AND(PensionSlip&gt;0,O$4&gt;=2030,O$4&lt;=2030+PensionSlip),Redirect=1),O68-O21,0)</f>
        <v/>
      </c>
      <c r="P84" s="22">
        <f>IF(Redirect=1,Data!$H$13,Data!$G$13+K_OPEBStep*(P$4-2030))+IF(AND(AND(PensionSlip&gt;0,P$4&gt;=2030,P$4&lt;=2030+PensionSlip),Redirect=1),P68-P21,0)</f>
        <v/>
      </c>
      <c r="Q84" s="22">
        <f>IF(Redirect=1,Data!$H$13,Data!$G$13+K_OPEBStep*(Q$4-2030))+IF(AND(AND(PensionSlip&gt;0,Q$4&gt;=2030,Q$4&lt;=2030+PensionSlip),Redirect=1),Q68-Q21,0)</f>
        <v/>
      </c>
    </row>
    <row r="85">
      <c r="A85" t="inlineStr">
        <is>
          <t>Retiree health: deposit, stopping at the payoff</t>
        </is>
      </c>
      <c r="D85" s="22">
        <f>A_OPEB</f>
        <v/>
      </c>
      <c r="E85" s="22">
        <f>MIN(E84,MAX(E82-D83*(1+K_OpebRate),0))</f>
        <v/>
      </c>
      <c r="F85" s="22">
        <f>MIN(F84,MAX(F82-E83*(1+K_OpebRate),0))</f>
        <v/>
      </c>
      <c r="G85" s="22">
        <f>MIN(G84,MAX(G82-F83*(1+K_OpebRate),0))</f>
        <v/>
      </c>
      <c r="H85" s="22">
        <f>MIN(H84,MAX(H82-G83*(1+K_OpebRate),0))</f>
        <v/>
      </c>
      <c r="I85" s="22">
        <f>MIN(I84,MAX(I82-H83*(1+K_OpebRate),0))</f>
        <v/>
      </c>
      <c r="J85" s="22">
        <f>MIN(J84,MAX(J82-I83*(1+K_OpebRate),0))</f>
        <v/>
      </c>
      <c r="K85" s="22">
        <f>MIN(K84,MAX(K82-J83*(1+K_OpebRate),0))</f>
        <v/>
      </c>
      <c r="L85" s="22">
        <f>MIN(L84,MAX(L82-K83*(1+K_OpebRate),0))</f>
        <v/>
      </c>
      <c r="M85" s="22">
        <f>MIN(M84,MAX(M82-L83*(1+K_OpebRate),0))</f>
        <v/>
      </c>
      <c r="N85" s="22">
        <f>MIN(N84,MAX(N82-M83*(1+K_OpebRate),0))</f>
        <v/>
      </c>
      <c r="O85" s="22">
        <f>MIN(O84,MAX(O82-N83*(1+K_OpebRate),0))</f>
        <v/>
      </c>
      <c r="P85" s="22">
        <f>MIN(P84,MAX(P82-O83*(1+K_OpebRate),0))</f>
        <v/>
      </c>
      <c r="Q85" s="22">
        <f>MIN(Q84,MAX(Q82-P83*(1+K_OpebRate),0))</f>
        <v/>
      </c>
    </row>
    <row r="86"/>
    <row r="87">
      <c r="A87" s="2" t="inlineStr">
        <is>
          <t>Fixed values worked out once</t>
        </is>
      </c>
    </row>
    <row r="88">
      <c r="A88" t="inlineStr">
        <is>
          <t>FY2027 enrollment</t>
        </is>
      </c>
      <c r="C88" s="37">
        <f>$D$61</f>
        <v/>
      </c>
    </row>
    <row r="89">
      <c r="A89" t="inlineStr">
        <is>
          <t>FY2027 school staff</t>
        </is>
      </c>
      <c r="C89" s="37">
        <f>K_Staff26+A_FTEchg</f>
        <v/>
      </c>
    </row>
    <row r="90">
      <c r="A90" t="inlineStr">
        <is>
          <t>FY2027 students per staff</t>
        </is>
      </c>
      <c r="C90" s="40">
        <f>Enroll27/Staff27</f>
        <v/>
      </c>
    </row>
    <row r="91">
      <c r="A91" t="inlineStr">
        <is>
          <t>Students per staff a third back to FY2019</t>
        </is>
      </c>
      <c r="C91" s="40">
        <f>Ratio27+(K_Ratio2019-Ratio27)/3</f>
        <v/>
      </c>
    </row>
    <row r="92">
      <c r="A92" t="inlineStr">
        <is>
          <t>FY2027 Town and school staff</t>
        </is>
      </c>
      <c r="C92" s="37">
        <f>K_TownFTE+Staff27</f>
        <v/>
      </c>
    </row>
    <row r="93">
      <c r="A93" t="inlineStr">
        <is>
          <t>Pay growth, FY2025 to FY2027</t>
        </is>
      </c>
      <c r="C93" s="40">
        <f>(1+PayTown)^(2027-2025)</f>
        <v/>
      </c>
    </row>
    <row r="94">
      <c r="A94" t="inlineStr">
        <is>
          <t>Public Safety pay growth, FY2025 to FY2027</t>
        </is>
      </c>
      <c r="C94" s="40">
        <f>(1+PayTown+PSPrem)^(2027-2025)</f>
        <v/>
      </c>
    </row>
    <row r="95">
      <c r="A95" t="inlineStr">
        <is>
          <t>Pension normal cost, FY2030 (FY2031's, one year back)</t>
        </is>
      </c>
      <c r="C95" s="17">
        <f>Data!$H$12/(1+PayTown+K_PenNCPrem)</f>
        <v/>
      </c>
    </row>
    <row r="96">
      <c r="A96" t="inlineStr">
        <is>
          <t>Pension slip: each installment of FY2030's catch-up</t>
        </is>
      </c>
      <c r="C96"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"&amp;TEXT(Forecast!J65,"0.000")&amp;"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"&amp;TEXT(Forecast!J70,"0.000")&amp;"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K_SPH</t>
        </is>
      </c>
      <c r="B120" s="3" t="inlineStr">
        <is>
          <t>School-age children per added home</t>
        </is>
      </c>
      <c r="C120" s="61" t="n">
        <v>0.2442</v>
      </c>
      <c r="D120" s="3" t="inlineStr">
        <is>
          <t>RKG's per-bedroom rates applied to the mix of homes being built. The forecast adds apartments and condominiums, not age-restricted homes. Across Massachusetts, added homes have brought fewer public school students than this.</t>
        </is>
      </c>
      <c r="E120" s="3" t="inlineStr">
        <is>
          <t>RKG fiscal impact study</t>
        </is>
      </c>
    </row>
    <row r="122">
      <c r="A122" s="2" t="inlineStr">
        <is>
          <t>FY2027 budget as adopted</t>
        </is>
      </c>
    </row>
    <row r="123">
      <c r="A123" s="20" t="inlineStr">
        <is>
          <t>A_TD</t>
        </is>
      </c>
      <c r="B123" s="3" t="inlineStr">
        <is>
          <t>Town departments</t>
        </is>
      </c>
      <c r="C123" s="49" t="n">
        <v>103486124</v>
      </c>
      <c r="D123" s="3" t="inlineStr"/>
      <c r="E123" s="3" t="inlineStr">
        <is>
          <t>Annual Town Meeting, May 2026, Table 1</t>
        </is>
      </c>
    </row>
    <row r="124">
      <c r="A124" s="20" t="inlineStr">
        <is>
          <t>A_Sch</t>
        </is>
      </c>
      <c r="B124" s="3" t="inlineStr">
        <is>
          <t>Schools</t>
        </is>
      </c>
      <c r="C124" s="49" t="n">
        <v>149801900</v>
      </c>
      <c r="D124" s="3" t="inlineStr"/>
      <c r="E124" s="3" t="inlineStr">
        <is>
          <t>Same</t>
        </is>
      </c>
    </row>
    <row r="125">
      <c r="A125" s="20" t="inlineStr">
        <is>
          <t>A_GH</t>
        </is>
      </c>
      <c r="B125" s="3" t="inlineStr">
        <is>
          <t>Health insurance</t>
        </is>
      </c>
      <c r="C125" s="49" t="n">
        <v>46364204</v>
      </c>
      <c r="D125" s="3" t="inlineStr"/>
      <c r="E125" s="3" t="inlineStr">
        <is>
          <t>Same</t>
        </is>
      </c>
    </row>
    <row r="126">
      <c r="A126" s="20" t="inlineStr">
        <is>
          <t>A_Pen</t>
        </is>
      </c>
      <c r="B126" s="3" t="inlineStr">
        <is>
          <t>Pensions</t>
        </is>
      </c>
      <c r="C126" s="49" t="n">
        <v>41167421</v>
      </c>
      <c r="D126" s="3" t="inlineStr"/>
      <c r="E126" s="3" t="inlineStr">
        <is>
          <t>Same</t>
        </is>
      </c>
    </row>
    <row r="127">
      <c r="A127" s="20" t="inlineStr">
        <is>
          <t>A_OPEB</t>
        </is>
      </c>
      <c r="B127" s="3" t="inlineStr">
        <is>
          <t>Retiree health (OPEB)</t>
        </is>
      </c>
      <c r="C127" s="49" t="n">
        <v>4931980</v>
      </c>
      <c r="D127" s="3" t="inlineStr"/>
      <c r="E127" s="3" t="inlineStr">
        <is>
          <t>Same</t>
        </is>
      </c>
    </row>
    <row r="128">
      <c r="A128" s="20" t="inlineStr">
        <is>
          <t>A_OB</t>
        </is>
      </c>
      <c r="B128" s="3" t="inlineStr">
        <is>
          <t>Other benefits</t>
        </is>
      </c>
      <c r="C128" s="17">
        <f>99123428-A_Pen-A_GH-A_OPEB</f>
        <v/>
      </c>
      <c r="D128" s="3" t="inlineStr">
        <is>
          <t>All employee benefits less the three above.</t>
        </is>
      </c>
      <c r="E128" s="3" t="inlineStr">
        <is>
          <t>Same</t>
        </is>
      </c>
    </row>
    <row r="129">
      <c r="A129" s="20" t="inlineStr">
        <is>
          <t>A_Debt</t>
        </is>
      </c>
      <c r="B129" s="3" t="inlineStr">
        <is>
          <t>Debt within the levy</t>
        </is>
      </c>
      <c r="C129" s="17">
        <f>49425313-35379833</f>
        <v/>
      </c>
      <c r="D129" s="3" t="inlineStr">
        <is>
          <t>All debt service less excluded debt.</t>
        </is>
      </c>
      <c r="E129" s="3" t="inlineStr">
        <is>
          <t>Same</t>
        </is>
      </c>
    </row>
    <row r="130">
      <c r="A130" s="20" t="inlineStr">
        <is>
          <t>A_Other</t>
        </is>
      </c>
      <c r="B130" s="3" t="inlineStr">
        <is>
          <t>Capital, reserves and other</t>
        </is>
      </c>
      <c r="C130" s="17">
        <f>15614820+22409889+10792034+15000</f>
        <v/>
      </c>
      <c r="D130" s="3" t="inlineStr">
        <is>
          <t>General non-departmental, revenue-financed capital, non-appropriated and vocational education.</t>
        </is>
      </c>
      <c r="E130" s="3" t="inlineStr">
        <is>
          <t>Same</t>
        </is>
      </c>
    </row>
    <row r="131">
      <c r="A131" s="20" t="inlineStr">
        <is>
          <t>A_OtherFunds</t>
        </is>
      </c>
      <c r="B131" s="3" t="inlineStr">
        <is>
          <t>Other available funds</t>
        </is>
      </c>
      <c r="C131" s="49" t="n">
        <v>8755561</v>
      </c>
      <c r="D131" s="3" t="inlineStr"/>
      <c r="E131" s="3" t="inlineStr">
        <is>
          <t>Same</t>
        </is>
      </c>
    </row>
    <row r="132">
      <c r="A132" s="20" t="inlineStr">
        <is>
          <t>A_FTEchg</t>
        </is>
      </c>
      <c r="B132" s="3" t="inlineStr">
        <is>
          <t>Change in school staff from FY2026</t>
        </is>
      </c>
      <c r="C132" s="56" t="n">
        <v>-22.1</v>
      </c>
      <c r="D132" s="3" t="inlineStr"/>
      <c r="E132" s="3" t="inlineStr">
        <is>
          <t>Same</t>
        </is>
      </c>
    </row>
    <row r="134">
      <c r="A134" s="2" t="inlineStr">
        <is>
          <t>Chestnut Hill revenue once built, by estimate</t>
        </is>
      </c>
    </row>
    <row r="135">
      <c r="A135" s="5" t="inlineStr">
        <is>
          <t>Estimate</t>
        </is>
      </c>
      <c r="B135" s="5" t="inlineStr">
        <is>
          <t>Residential share of the property tax</t>
        </is>
      </c>
      <c r="C135" s="5" t="inlineStr">
        <is>
          <t>Property tax a year, FY2025 dollars</t>
        </is>
      </c>
      <c r="D135" s="5" t="inlineStr">
        <is>
          <t>Rooms tax and motor vehicle excise a year, FY2025 dollars</t>
        </is>
      </c>
      <c r="E135" s="5" t="inlineStr">
        <is>
          <t>How it is worked out</t>
        </is>
      </c>
    </row>
    <row r="136">
      <c r="A136" s="20" t="inlineStr">
        <is>
          <t>approved</t>
        </is>
      </c>
      <c r="B136" s="11">
        <f>ROUND(266*1841088/265,0)/(ROUND(266*1841088/265,0)+2696433)</f>
        <v/>
      </c>
      <c r="C136" s="17">
        <f>ROUND(266*1841088/265,0)+2696433</f>
        <v/>
      </c>
      <c r="D136" s="17">
        <f>762120+ROUND(266*99375/265,0)</f>
        <v/>
      </c>
      <c r="E136" s="3" t="inlineStr">
        <is>
          <t>RKG's residential tax per home for 266 homes, plus City Realty scenario 1's commercial tax (the one with the approved 200 rooms); rooms tax for 200 rooms plus RKG's excise per home.</t>
        </is>
      </c>
    </row>
    <row r="137">
      <c r="A137" s="20" t="inlineStr">
        <is>
          <t>cr_avg</t>
        </is>
      </c>
      <c r="B137" s="11">
        <f>3030198/5408241</f>
        <v/>
      </c>
      <c r="C137" s="49" t="n">
        <v>5408241</v>
      </c>
      <c r="D137" s="49" t="n">
        <v>917905</v>
      </c>
      <c r="E137" s="3" t="inlineStr">
        <is>
          <t>Average of City Realty's three scenarios.</t>
        </is>
      </c>
    </row>
    <row r="138">
      <c r="A138" s="20" t="inlineStr">
        <is>
          <t>rkg</t>
        </is>
      </c>
      <c r="B138" s="11">
        <f>1841088/3158174</f>
        <v/>
      </c>
      <c r="C138" s="49" t="n">
        <v>3158174</v>
      </c>
      <c r="D138" s="49" t="n">
        <v>480435</v>
      </c>
      <c r="E138" s="3" t="inlineStr">
        <is>
          <t>RKG's scenario.</t>
        </is>
      </c>
    </row>
    <row r="139">
      <c r="A139" s="20" t="inlineStr">
        <is>
          <t>in_trend</t>
        </is>
      </c>
      <c r="B139" s="46" t="n">
        <v>0</v>
      </c>
      <c r="C139" s="49" t="n">
        <v>0</v>
      </c>
      <c r="D139" s="49" t="n">
        <v>0</v>
      </c>
      <c r="E139" s="3" t="inlineStr">
        <is>
          <t>Counted inside the recent trend, so nothing added.</t>
        </is>
      </c>
    </row>
    <row r="140">
      <c r="A140" s="27" t="inlineStr">
        <is>
          <t>Used in this run (from the Chestnut Hill setting)</t>
        </is>
      </c>
      <c r="B140" s="11">
        <f>INDEX($B$136:$B$139,MATCH(ChcaEstimate,$A$136:$A$139,0))</f>
        <v/>
      </c>
      <c r="C140" s="17">
        <f>INDEX($C$136:$C$139,MATCH(ChcaEstimate,$A$136:$A$139,0))</f>
        <v/>
      </c>
      <c r="D140" s="17">
        <f>INDEX($D$136:$D$139,MATCH(ChcaEstimate,$A$136:$A$139,0))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6889</v>
      </c>
      <c r="E10" s="33" t="n">
        <v>6716.1139651609</v>
      </c>
      <c r="F10" s="33" t="n">
        <v>6554.4146737526</v>
      </c>
      <c r="G10" s="33" t="n">
        <v>6454.7509595512</v>
      </c>
      <c r="H10" s="33" t="n">
        <v>6313.3912016534</v>
      </c>
      <c r="I10" s="33" t="n">
        <v>6210.6765574255</v>
      </c>
      <c r="J10" s="33" t="n">
        <v>6081.5205196339</v>
      </c>
      <c r="K10" s="33" t="n">
        <v>5941.1777384116</v>
      </c>
      <c r="L10" s="33" t="n">
        <v>5820.201031289</v>
      </c>
      <c r="M10" s="33" t="n">
        <v>5692.3109956378</v>
      </c>
      <c r="N10" s="33" t="n">
        <v>5596.4447247403</v>
      </c>
      <c r="O10" s="33" t="n">
        <v>5480.2112959861</v>
      </c>
      <c r="P10" s="33" t="n">
        <v>5446.0702428873</v>
      </c>
      <c r="Q10" s="33" t="n">
        <v>5410.1826602712</v>
      </c>
    </row>
    <row r="11">
      <c r="A11" t="inlineStr">
        <is>
          <t>Enrollment, Cropper-McKibben (the schools' forecast)</t>
        </is>
      </c>
      <c r="B11" s="20" t="inlineStr">
        <is>
          <t>Cropper-McKibben 2023</t>
        </is>
      </c>
      <c r="C11" s="33" t="n">
        <v>6949</v>
      </c>
      <c r="D11" s="33" t="n">
        <v>6889</v>
      </c>
      <c r="E11" s="33" t="n">
        <v>6858.1254879283</v>
      </c>
      <c r="F11" s="33" t="n">
        <v>6904.935232037</v>
      </c>
      <c r="G11" s="33" t="n">
        <v>7021.4616163076</v>
      </c>
      <c r="H11" s="33" t="n">
        <v>7089.1863524649</v>
      </c>
      <c r="I11" s="33" t="n">
        <v>7215.6722567587</v>
      </c>
      <c r="J11" s="33" t="n">
        <v>7314.2715049877</v>
      </c>
      <c r="K11" s="33" t="n">
        <v>7413.866705219</v>
      </c>
      <c r="L11" s="33" t="n">
        <v>7413.866705219</v>
      </c>
      <c r="M11" s="33" t="n">
        <v>7413.866705219</v>
      </c>
      <c r="N11" s="33" t="n">
        <v>7413.866705219</v>
      </c>
      <c r="O11" s="33" t="n">
        <v>7413.866705219</v>
      </c>
      <c r="P11" s="33" t="n">
        <v>7413.866705219</v>
      </c>
      <c r="Q11" s="33" t="n">
        <v>7413.866705219</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427785092.9212109</v>
      </c>
      <c r="F6" s="17" t="n">
        <v>444453292.7886619</v>
      </c>
      <c r="G6" s="17" t="n">
        <v>459556356.8897404</v>
      </c>
      <c r="H6" s="17" t="n">
        <v>474794900.7142723</v>
      </c>
      <c r="I6" s="17" t="n">
        <v>491227414.8920101</v>
      </c>
      <c r="J6" s="17" t="n">
        <v>508226495.78166</v>
      </c>
      <c r="K6" s="17" t="n">
        <v>525997624.0783195</v>
      </c>
      <c r="L6" s="17" t="n">
        <v>544537633.6901402</v>
      </c>
      <c r="M6" s="17" t="n">
        <v>563672514.489046</v>
      </c>
      <c r="N6" s="17" t="n">
        <v>584255305.7502797</v>
      </c>
      <c r="O6" s="17" t="n">
        <v>605442260.8546797</v>
      </c>
      <c r="P6" s="17" t="n">
        <v>629452757.4291645</v>
      </c>
      <c r="Q6" s="17" t="n">
        <v>654700873.485374</v>
      </c>
    </row>
    <row r="7">
      <c r="A7" t="inlineStr">
        <is>
          <t>Explorer engine: room</t>
        </is>
      </c>
      <c r="D7" s="17" t="n">
        <v>0</v>
      </c>
      <c r="E7" s="17" t="n">
        <v>752760.7779465318</v>
      </c>
      <c r="F7" s="17" t="n">
        <v>4533487.821759582</v>
      </c>
      <c r="G7" s="17" t="n">
        <v>8777230.167183518</v>
      </c>
      <c r="H7" s="17" t="n">
        <v>8012814.819635689</v>
      </c>
      <c r="I7" s="17" t="n">
        <v>10450817.20250344</v>
      </c>
      <c r="J7" s="17" t="n">
        <v>12988767.9585979</v>
      </c>
      <c r="K7" s="17" t="n">
        <v>15668215.45829761</v>
      </c>
      <c r="L7" s="17" t="n">
        <v>16236721.17218959</v>
      </c>
      <c r="M7" s="17" t="n">
        <v>16876977.79053569</v>
      </c>
      <c r="N7" s="17" t="n">
        <v>16684344.25655949</v>
      </c>
      <c r="O7" s="17" t="n">
        <v>16626298.75105107</v>
      </c>
      <c r="P7" s="17" t="n">
        <v>14517469.65074623</v>
      </c>
      <c r="Q7" s="17" t="n">
        <v>11972584.2542851</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2026-10-25T19:40:29Z</dcterms:created>
  <dcterms:modified xmlns:dcterms="http://purl.org/dc/terms/" xmlns:xsi="http://www.w3.org/2001/XMLSchema-instance" xsi:type="dcterms:W3CDTF">2026-10-25T19:40:29Z</dcterms:modified>
</cp:coreProperties>
</file>