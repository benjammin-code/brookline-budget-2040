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FillSeat">Assumptions!$C$120</definedName>
    <definedName name="K_SPH">Assumptions!$C$121</definedName>
    <definedName name="A_TD">Assumptions!$C$124</definedName>
    <definedName name="A_Sch">Assumptions!$C$125</definedName>
    <definedName name="A_GH">Assumptions!$C$126</definedName>
    <definedName name="A_Pen">Assumptions!$C$127</definedName>
    <definedName name="A_OPEB">Assumptions!$C$128</definedName>
    <definedName name="A_OB">Assumptions!$C$129</definedName>
    <definedName name="A_Debt">Assumptions!$C$130</definedName>
    <definedName name="A_Other">Assumptions!$C$131</definedName>
    <definedName name="A_OtherFunds">Assumptions!$C$132</definedName>
    <definedName name="A_FTEchg">Assumptions!$C$133</definedName>
    <definedName name="ChcaProp">Assumptions!$C$141</definedName>
    <definedName name="ChcaLR">Assumptions!$D$141</definedName>
    <definedName name="ChcaResShare">Assumptions!$B$141</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migration">Settings!$B$25</definedName>
    <definedName name="In_premium_near">Settings!$B$26</definedName>
    <definedName name="In_np_extra">Settings!$B$27</definedName>
    <definedName name="In_capital">Settings!$B$28</definedName>
    <definedName name="In_cost_home">Settings!$B$29</definedName>
    <definedName name="In_ps_staff">Settings!$B$30</definedName>
    <definedName name="In_chca">Settings!$B$31</definedName>
    <definedName name="In_slip">Settings!$B$32</definedName>
    <definedName name="In_ng2728">Settings!$B$33</definedName>
    <definedName name="In_ov_amt">Settings!$B$34</definedName>
    <definedName name="In_ov_year">Settings!$B$35</definedName>
    <definedName name="PayTown">Settings!$B$39</definedName>
    <definedName name="PSPrem">Settings!$B$40</definedName>
    <definedName name="SchDrift">Settings!$B$41</definedName>
    <definedName name="PremLong">Settings!$B$42</definedName>
    <definedName name="PremNear">Settings!$B$43</definedName>
    <definedName name="Inflation">Settings!$B$44</definedName>
    <definedName name="NPExtra">Settings!$B$45</definedName>
    <definedName name="CostHome">Settings!$B$46</definedName>
    <definedName name="StateAidGrowth">Settings!$B$47</definedName>
    <definedName name="ReceiptsGrowth">Settings!$B$48</definedName>
    <definedName name="Redirect">Settings!$B$49</definedName>
    <definedName name="OpebHold">Settings!$B$50</definedName>
    <definedName name="RatioMode">Settings!$B$51</definedName>
    <definedName name="MixCode">Settings!$B$52</definedName>
    <definedName name="FillCap">Settings!$B$53</definedName>
    <definedName name="HomesShare">Settings!$B$54</definedName>
    <definedName name="EnrollMode">Settings!$B$55</definedName>
    <definedName name="Migration">Settings!$B$56</definedName>
    <definedName name="CapFull">Settings!$B$57</definedName>
    <definedName name="ChcaEstimate">Settings!$B$58</definedName>
    <definedName name="NgEarlyYears">Settings!$B$59</definedName>
    <definedName name="ChcaOn">Settings!$B$60</definedName>
    <definedName name="PensionSlip">Settings!$B$61</definedName>
    <definedName name="FireStep">Settings!$B$62</definedName>
    <definedName name="PSRestore">Settings!$B$63</definedName>
    <definedName name="PoliceStep">Settings!$B$64</definedName>
    <definedName name="GrowthStep">Settings!$B$65</definedName>
    <definedName name="GrowthRate">Settings!$B$66</definedName>
    <definedName name="OvAmt">Settings!$B$67</definedName>
    <definedName name="OvYear">Settings!$B$68</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Forecast!$C$89</definedName>
    <definedName name="Staff27">Forecast!$C$90</definedName>
    <definedName name="Ratio27">Forecast!$C$91</definedName>
    <definedName name="RatioTarget">Forecast!$C$92</definedName>
    <definedName name="AllStaff27">Forecast!$C$93</definedName>
    <definedName name="PayToFY27">Forecast!$C$94</definedName>
    <definedName name="PSPayToFY27">Forecast!$C$95</definedName>
    <definedName name="PenNC30">Forecast!$C$96</definedName>
    <definedName name="PenSlipPay">Forecast!$C$97</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Families moving in, change in each class a year</t>
        </is>
      </c>
      <c r="B25" s="6" t="n">
        <v>0</v>
      </c>
      <c r="C25" s="7" t="n">
        <v>0</v>
      </c>
      <c r="D25" t="inlineStr">
        <is>
          <t>-1 to +2 points</t>
        </is>
      </c>
      <c r="F25" s="3" t="inlineStr">
        <is>
          <t>How much each class grows or shrinks each year from families moving in and out, beyond what NESDEC assumes, for children of every age from birth on, so kindergartners per birth move with it. Since COVID classes have grown about 0.35 point a year faster than NESDEC assumes. Changes the NESDEC path only.</t>
        </is>
      </c>
    </row>
    <row r="26">
      <c r="A26" s="3" t="inlineStr">
        <is>
          <t>Health premium growth, FY2028 and FY2029</t>
        </is>
      </c>
      <c r="B26" s="10" t="n">
        <v>0.12</v>
      </c>
      <c r="C26" s="11" t="n">
        <v>0.12</v>
      </c>
      <c r="D26" t="inlineStr">
        <is>
          <t>6% to 14%</t>
        </is>
      </c>
      <c r="F26" s="3" t="inlineStr">
        <is>
          <t>The Town's own forecast for the next two years.</t>
        </is>
      </c>
    </row>
    <row r="27">
      <c r="A27" s="3" t="inlineStr">
        <is>
          <t>School non-personnel costs above inflation</t>
        </is>
      </c>
      <c r="B27" s="6" t="n">
        <v>0</v>
      </c>
      <c r="C27" s="7" t="n">
        <v>0</v>
      </c>
      <c r="D27" t="inlineStr">
        <is>
          <t>0 to 3 points</t>
        </is>
      </c>
      <c r="F27" s="3" t="inlineStr">
        <is>
          <t>Special education placements and transportation have at times grown faster than prices in general.</t>
        </is>
      </c>
    </row>
    <row r="28">
      <c r="A28" s="3" t="inlineStr">
        <is>
          <t>Capital funding</t>
        </is>
      </c>
      <c r="B28" s="9" t="inlineStr">
        <is>
          <t>The 6.6% policy, from FY2028</t>
        </is>
      </c>
      <c r="C28" t="inlineStr">
        <is>
          <t>The 6.6% policy, from FY2028</t>
        </is>
      </c>
      <c r="D28" t="inlineStr">
        <is>
          <t>Choose from the list</t>
        </is>
      </c>
      <c r="F28" s="3" t="inlineStr">
        <is>
          <t>The Select Board's policy puts 6.6% of the prior year's net revenue into capital from FY2028; holding capital at the Town's six-year table's dollars comes to about 6% of this forecast's net revenue.</t>
        </is>
      </c>
    </row>
    <row r="29">
      <c r="A29" s="3" t="inlineStr">
        <is>
          <t>Town cost of serving a new home (FY2025 $)</t>
        </is>
      </c>
      <c r="B29" s="16" t="n">
        <v>660</v>
      </c>
      <c r="C29" s="17" t="n">
        <v>660</v>
      </c>
      <c r="D29" t="inlineStr">
        <is>
          <t>$200 to $1,200</t>
        </is>
      </c>
      <c r="F29" s="3" t="inlineStr">
        <is>
          <t>Town department cost per added home a year, before schools. The forecast leaves out fire's share, about a fifth, since fire is counted in steps under Police and fire staffing, and police's share too when police grow with homes.</t>
        </is>
      </c>
    </row>
    <row r="30">
      <c r="A30" s="3" t="inlineStr">
        <is>
          <t>Police and fire staffing</t>
        </is>
      </c>
      <c r="B30" s="9" t="inlineStr">
        <is>
          <t>FY2027 budget, plus a fire company at about 31,200 homes</t>
        </is>
      </c>
      <c r="C30" t="inlineStr">
        <is>
          <t>FY2027 budget, plus a fire company at about 31,200 homes</t>
        </is>
      </c>
      <c r="D30" t="inlineStr">
        <is>
          <t>Choose from the list</t>
        </is>
      </c>
      <c r="F30"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1">
      <c r="A31" s="3" t="inlineStr">
        <is>
          <t>Chestnut Hill redevelopment</t>
        </is>
      </c>
      <c r="B31" s="9" t="inlineStr">
        <is>
          <t>Approved program, Town Meeting May 2026</t>
        </is>
      </c>
      <c r="C31" t="inlineStr">
        <is>
          <t>Approved program, Town Meeting May 2026</t>
        </is>
      </c>
      <c r="D31" t="inlineStr">
        <is>
          <t>Choose from the list</t>
        </is>
      </c>
      <c r="F31" s="3" t="inlineStr">
        <is>
          <t>266 homes and a 200-room hotel, arriving FY2032 to FY2034. The estimates differ only in revenue.</t>
        </is>
      </c>
    </row>
    <row r="32">
      <c r="A32" s="3" t="inlineStr">
        <is>
          <t>Pension full funding slips</t>
        </is>
      </c>
      <c r="B32" s="9" t="inlineStr">
        <is>
          <t>On schedule, FY2030</t>
        </is>
      </c>
      <c r="C32" t="inlineStr">
        <is>
          <t>On schedule, FY2030</t>
        </is>
      </c>
      <c r="D32" t="inlineStr">
        <is>
          <t>Choose from the list</t>
        </is>
      </c>
      <c r="F32" s="3" t="inlineStr">
        <is>
          <t>If investment returns fall short, full pension contributions continue for longer.</t>
        </is>
      </c>
    </row>
    <row r="33">
      <c r="A33" s="3" t="inlineStr">
        <is>
          <t>New growth in FY2027 and FY2028</t>
        </is>
      </c>
      <c r="B33" s="9" t="inlineStr">
        <is>
          <t>The recent trend (the base case)</t>
        </is>
      </c>
      <c r="C33" t="inlineStr">
        <is>
          <t>The recent trend (the base case)</t>
        </is>
      </c>
      <c r="D33" t="inlineStr">
        <is>
          <t>Choose from the list</t>
        </is>
      </c>
      <c r="F33"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4">
      <c r="A34" s="3" t="inlineStr">
        <is>
          <t>A further override (first-year dollars)</t>
        </is>
      </c>
      <c r="B34" s="16" t="n">
        <v>0</v>
      </c>
      <c r="C34" s="17" t="n">
        <v>0</v>
      </c>
      <c r="D34" t="inlineStr">
        <is>
          <t>$0 to $30,000,000</t>
        </is>
      </c>
      <c r="F34" s="3" t="inlineStr">
        <is>
          <t>An operating override added to the levy, growing 2.5% a year after. The forecast itself never assumes one.</t>
        </is>
      </c>
    </row>
    <row r="35">
      <c r="A35" s="3" t="inlineStr">
        <is>
          <t>First year of that override</t>
        </is>
      </c>
      <c r="B35" s="18" t="n">
        <v>2031</v>
      </c>
      <c r="C35" s="19" t="n">
        <v>2031</v>
      </c>
      <c r="D35" t="inlineStr">
        <is>
          <t>2029 to 2035</t>
        </is>
      </c>
      <c r="F35" s="3" t="inlineStr">
        <is>
          <t>Only matters when the override above is more than zero.</t>
        </is>
      </c>
    </row>
    <row r="37">
      <c r="A37" s="2" t="inlineStr">
        <is>
          <t>How the model reads these settings (worked out, do not edit)</t>
        </is>
      </c>
    </row>
    <row r="38">
      <c r="A38" s="20" t="inlineStr">
        <is>
          <t>Each line turns a choice above into the value the Forecast sheet uses.</t>
        </is>
      </c>
    </row>
    <row r="39">
      <c r="A39" t="inlineStr">
        <is>
          <t>Pay growth, Town staff</t>
        </is>
      </c>
      <c r="B39" s="8">
        <f>K_BasePay+In_pay</f>
        <v/>
      </c>
    </row>
    <row r="40">
      <c r="A40" t="inlineStr">
        <is>
          <t>Public Safety above the target</t>
        </is>
      </c>
      <c r="B40" s="21">
        <f>In_ps_premium</f>
        <v/>
      </c>
    </row>
    <row r="41">
      <c r="A41" t="inlineStr">
        <is>
          <t>Schools above the target</t>
        </is>
      </c>
      <c r="B41" s="21">
        <f>In_school_drift</f>
        <v/>
      </c>
    </row>
    <row r="42">
      <c r="A42" t="inlineStr">
        <is>
          <t>Health premiums, FY2030 on</t>
        </is>
      </c>
      <c r="B42" s="8">
        <f>In_premium_long</f>
        <v/>
      </c>
    </row>
    <row r="43">
      <c r="A43" t="inlineStr">
        <is>
          <t>Health premiums, FY2028 and FY2029</t>
        </is>
      </c>
      <c r="B43" s="8">
        <f>In_premium_near</f>
        <v/>
      </c>
    </row>
    <row r="44">
      <c r="A44" t="inlineStr">
        <is>
          <t>Inflation</t>
        </is>
      </c>
      <c r="B44" s="8">
        <f>In_cpi</f>
        <v/>
      </c>
    </row>
    <row r="45">
      <c r="A45" t="inlineStr">
        <is>
          <t>School non-personnel above inflation</t>
        </is>
      </c>
      <c r="B45" s="21">
        <f>In_np_extra</f>
        <v/>
      </c>
    </row>
    <row r="46">
      <c r="A46" t="inlineStr">
        <is>
          <t>Town cost of a new home</t>
        </is>
      </c>
      <c r="B46" s="22">
        <f>In_cost_home</f>
        <v/>
      </c>
    </row>
    <row r="47">
      <c r="A47" t="inlineStr">
        <is>
          <t>State aid growth</t>
        </is>
      </c>
      <c r="B47" s="8">
        <f>In_sa</f>
        <v/>
      </c>
    </row>
    <row r="48">
      <c r="A48" t="inlineStr">
        <is>
          <t>Local receipts growth</t>
        </is>
      </c>
      <c r="B48" s="8">
        <f>In_lr</f>
        <v/>
      </c>
    </row>
    <row r="49">
      <c r="A49" t="inlineStr">
        <is>
          <t>Pension savings move to OPEB (1 yes, 0 no)</t>
        </is>
      </c>
      <c r="B49" s="23">
        <f>IF(INDEX(Data!$D$42:$D$44,MATCH(In_opeb,Data!$C$42:$C$44,0))="keep",0,1)</f>
        <v/>
      </c>
    </row>
    <row r="50">
      <c r="A50" t="inlineStr">
        <is>
          <t>Money freed by the OPEB payoff held for a decision (1 yes, 0 no)</t>
        </is>
      </c>
      <c r="B50" s="23">
        <f>IF(INDEX(Data!$D$42:$D$44,MATCH(In_opeb,Data!$C$42:$C$44,0))="redirect",1,0)</f>
        <v/>
      </c>
    </row>
    <row r="51">
      <c r="A51" t="inlineStr">
        <is>
          <t>School staffing rule</t>
        </is>
      </c>
      <c r="B51" s="24">
        <f>INDEX(Data!$D$45:$D$48,MATCH(In_staffing,Data!$C$45:$C$48,0))</f>
        <v/>
      </c>
    </row>
    <row r="52">
      <c r="A52" t="inlineStr">
        <is>
          <t>Growth mix</t>
        </is>
      </c>
      <c r="B52" s="24">
        <f>INDEX(Data!$D$49:$D$52,MATCH(In_mix,Data!$C$49:$C$52,0))</f>
        <v/>
      </c>
    </row>
    <row r="53">
      <c r="A53" t="inlineStr">
        <is>
          <t>Students fill open seats (1 yes, 0 no)</t>
        </is>
      </c>
      <c r="B53" s="23">
        <f>IF(INDEX(Data!$D$56:$D$57,MATCH(In_fill,Data!$C$56:$C$57,0))="fill",1,0)</f>
        <v/>
      </c>
    </row>
    <row r="54">
      <c r="A54" t="inlineStr">
        <is>
          <t>Share of expected new homes built</t>
        </is>
      </c>
      <c r="B54" s="25">
        <f>IF(INDEX(Data!$D$53:$D$55,MATCH(In_homes,Data!$C$53:$C$55,0))="half",0.5,IF(INDEX(Data!$D$53:$D$55,MATCH(In_homes,Data!$C$53:$C$55,0))="none",0,1))</f>
        <v/>
      </c>
    </row>
    <row r="55">
      <c r="A55" t="inlineStr">
        <is>
          <t>Enrollment path</t>
        </is>
      </c>
      <c r="B55" s="24">
        <f>INDEX(Data!$D$58:$D$60,MATCH(In_enroll,Data!$C$58:$C$60,0))</f>
        <v/>
      </c>
    </row>
    <row r="56">
      <c r="A56" t="inlineStr">
        <is>
          <t>Families moving in, change in each class a year</t>
        </is>
      </c>
      <c r="B56" s="21">
        <f>In_migration</f>
        <v/>
      </c>
    </row>
    <row r="57">
      <c r="A57" t="inlineStr">
        <is>
          <t>Capital at the full policy (1 yes, 0 no)</t>
        </is>
      </c>
      <c r="B57" s="23">
        <f>IF(INDEX(Data!$D$61:$D$62,MATCH(In_capital,Data!$C$61:$C$62,0))="full",1,0)</f>
        <v/>
      </c>
    </row>
    <row r="58">
      <c r="A58" t="inlineStr">
        <is>
          <t>Chestnut Hill estimate</t>
        </is>
      </c>
      <c r="B58" s="24">
        <f>INDEX(Data!$D$63:$D$66,MATCH(In_chca,Data!$C$63:$C$66,0))</f>
        <v/>
      </c>
    </row>
    <row r="59">
      <c r="A59" t="inlineStr">
        <is>
          <t>New growth in FY2027 and FY2028</t>
        </is>
      </c>
      <c r="B59" s="24">
        <f>INDEX(Data!$D$71:$D$74,MATCH(In_ng2728,Data!$C$71:$C$74,0))</f>
        <v/>
      </c>
    </row>
    <row r="60">
      <c r="A60" t="inlineStr">
        <is>
          <t>Chestnut Hill counted on top of trend (1 yes, 0 no)</t>
        </is>
      </c>
      <c r="B60" s="23">
        <f>IF(ChcaEstimate="in_trend",0,1)</f>
        <v/>
      </c>
    </row>
    <row r="61">
      <c r="A61" t="inlineStr">
        <is>
          <t>Years pension full funding slips</t>
        </is>
      </c>
      <c r="B61" s="23">
        <f>INDEX(Data!$D$75:$D$78,MATCH(In_slip,Data!$C$75:$C$78,0))</f>
        <v/>
      </c>
    </row>
    <row r="62">
      <c r="A62" t="inlineStr">
        <is>
          <t>Fire company added at the threshold (1 yes, 0 no)</t>
        </is>
      </c>
      <c r="B62" s="23">
        <f>IF(INDEX(Data!$D$67:$D$70,MATCH(In_ps_staff,Data!$C$67:$C$70,0))="none",0,1)</f>
        <v/>
      </c>
    </row>
    <row r="63">
      <c r="A63" t="inlineStr">
        <is>
          <t>Police and fire restored to earlier staffing (1 yes, 0 no)</t>
        </is>
      </c>
      <c r="B63" s="23">
        <f>IF(INDEX(Data!$D$67:$D$70,MATCH(In_ps_staff,Data!$C$67:$C$70,0))="restore",1,0)</f>
        <v/>
      </c>
    </row>
    <row r="64">
      <c r="A64" t="inlineStr">
        <is>
          <t>Police grow with homes at the peer ratio (1 yes, 0 no)</t>
        </is>
      </c>
      <c r="B64" s="23">
        <f>IF(INDEX(Data!$D$67:$D$70,MATCH(In_ps_staff,Data!$C$67:$C$70,0))="police",1,0)</f>
        <v/>
      </c>
    </row>
    <row r="65">
      <c r="A65" t="inlineStr">
        <is>
          <t>New growth step, tenths of a point</t>
        </is>
      </c>
      <c r="B65" s="23">
        <f>In_growth</f>
        <v/>
      </c>
    </row>
    <row r="66">
      <c r="A66" t="inlineStr">
        <is>
          <t>New growth rate, share of last year's levy</t>
        </is>
      </c>
      <c r="B66" s="8">
        <f>K_TrendRate+GrowthStep*0.001</f>
        <v/>
      </c>
    </row>
    <row r="67">
      <c r="A67" t="inlineStr">
        <is>
          <t>Further override, first-year dollars</t>
        </is>
      </c>
      <c r="B67" s="22">
        <f>In_ov_amt</f>
        <v/>
      </c>
    </row>
    <row r="68">
      <c r="A68" t="inlineStr">
        <is>
          <t>Further override, first year</t>
        </is>
      </c>
      <c r="B68" s="26">
        <f>In_ov_year</f>
        <v/>
      </c>
    </row>
  </sheetData>
  <mergeCells count="1">
    <mergeCell ref="A2:F2"/>
  </mergeCells>
  <dataValidations count="25">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=Data!$C$42:$C$44</formula1>
    </dataValidation>
    <dataValidation sqref="B9" showDropDown="0" showInputMessage="0" showErrorMessage="1" allowBlank="0" errorTitle="Out of range" error="Allowed: Choose from the list" type="list">
      <formula1>=Data!$C$45:$C$48</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=Data!$C$53:$C$55</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=Data!$C$49:$C$52</formula1>
    </dataValidation>
    <dataValidation sqref="B23" showDropDown="0" showInputMessage="0" showErrorMessage="1" allowBlank="0" errorTitle="Out of range" error="Allowed: Choose from the list" type="list">
      <formula1>=Data!$C$56:$C$57</formula1>
    </dataValidation>
    <dataValidation sqref="B24" showDropDown="0" showInputMessage="0" showErrorMessage="1" allowBlank="0" errorTitle="Out of range" error="Allowed: Choose from the list" type="list">
      <formula1>=Data!$C$58:$C$60</formula1>
    </dataValidation>
    <dataValidation sqref="B25" showDropDown="0" showInputMessage="0" showErrorMessage="1" allowBlank="0" errorTitle="Out of range" error="Allowed: -1 to +2 points" type="decimal" operator="between">
      <formula1>-0.01</formula1>
      <formula2>0.02</formula2>
    </dataValidation>
    <dataValidation sqref="B26" showDropDown="0" showInputMessage="0" showErrorMessage="1" allowBlank="0" errorTitle="Out of range" error="Allowed: 6% to 14%" type="decimal" operator="between">
      <formula1>0.06</formula1>
      <formula2>0.14</formula2>
    </dataValidation>
    <dataValidation sqref="B27" showDropDown="0" showInputMessage="0" showErrorMessage="1" allowBlank="0" errorTitle="Out of range" error="Allowed: 0 to 3 points" type="decimal" operator="between">
      <formula1>0</formula1>
      <formula2>0.03</formula2>
    </dataValidation>
    <dataValidation sqref="B28" showDropDown="0" showInputMessage="0" showErrorMessage="1" allowBlank="0" errorTitle="Out of range" error="Allowed: Choose from the list" type="list">
      <formula1>=Data!$C$61:$C$62</formula1>
    </dataValidation>
    <dataValidation sqref="B29" showDropDown="0" showInputMessage="0" showErrorMessage="1" allowBlank="0" errorTitle="Out of range" error="Allowed: $200 to $1,200" type="decimal" operator="between">
      <formula1>200</formula1>
      <formula2>1200</formula2>
    </dataValidation>
    <dataValidation sqref="B30" showDropDown="0" showInputMessage="0" showErrorMessage="1" allowBlank="0" errorTitle="Out of range" error="Allowed: Choose from the list" type="list">
      <formula1>=Data!$C$67:$C$70</formula1>
    </dataValidation>
    <dataValidation sqref="B31" showDropDown="0" showInputMessage="0" showErrorMessage="1" allowBlank="0" errorTitle="Out of range" error="Allowed: Choose from the list" type="list">
      <formula1>=Data!$C$63:$C$66</formula1>
    </dataValidation>
    <dataValidation sqref="B32" showDropDown="0" showInputMessage="0" showErrorMessage="1" allowBlank="0" errorTitle="Out of range" error="Allowed: Choose from the list" type="list">
      <formula1>=Data!$C$75:$C$78</formula1>
    </dataValidation>
    <dataValidation sqref="B33" showDropDown="0" showInputMessage="0" showErrorMessage="1" allowBlank="0" errorTitle="Out of range" error="Allowed: Choose from the list" type="list">
      <formula1>=Data!$C$71:$C$74</formula1>
    </dataValidation>
    <dataValidation sqref="B34" showDropDown="0" showInputMessage="0" showErrorMessage="1" allowBlank="0" errorTitle="Out of range" error="Allowed: $0 to $30,000,000" type="decimal" operator="between">
      <formula1>0</formula1>
      <formula2>30000000.0</formula2>
    </dataValidation>
    <dataValidation sqref="B35"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D72</f>
        <v/>
      </c>
      <c r="E8" s="17">
        <f>E72</f>
        <v/>
      </c>
      <c r="F8" s="17">
        <f>F72</f>
        <v/>
      </c>
      <c r="G8" s="17">
        <f>G72</f>
        <v/>
      </c>
      <c r="H8" s="17">
        <f>H72</f>
        <v/>
      </c>
      <c r="I8" s="17">
        <f>I72</f>
        <v/>
      </c>
      <c r="J8" s="17">
        <f>J72</f>
        <v/>
      </c>
      <c r="K8" s="17">
        <f>K72</f>
        <v/>
      </c>
      <c r="L8" s="17">
        <f>L72</f>
        <v/>
      </c>
      <c r="M8" s="17">
        <f>M72</f>
        <v/>
      </c>
      <c r="N8" s="17">
        <f>N72</f>
        <v/>
      </c>
      <c r="O8" s="17">
        <f>O72</f>
        <v/>
      </c>
      <c r="P8" s="17">
        <f>P72</f>
        <v/>
      </c>
      <c r="Q8" s="17">
        <f>Q72</f>
        <v/>
      </c>
    </row>
    <row r="9">
      <c r="A9" t="inlineStr">
        <is>
          <t>Local receipts, as budgeted</t>
        </is>
      </c>
      <c r="D9" s="17">
        <f>D76</f>
        <v/>
      </c>
      <c r="E9" s="17">
        <f>E76</f>
        <v/>
      </c>
      <c r="F9" s="17">
        <f>F76</f>
        <v/>
      </c>
      <c r="G9" s="17">
        <f>G76</f>
        <v/>
      </c>
      <c r="H9" s="17">
        <f>H76</f>
        <v/>
      </c>
      <c r="I9" s="17">
        <f>I76</f>
        <v/>
      </c>
      <c r="J9" s="17">
        <f>J76</f>
        <v/>
      </c>
      <c r="K9" s="17">
        <f>K76</f>
        <v/>
      </c>
      <c r="L9" s="17">
        <f>L76</f>
        <v/>
      </c>
      <c r="M9" s="17">
        <f>M76</f>
        <v/>
      </c>
      <c r="N9" s="17">
        <f>N76</f>
        <v/>
      </c>
      <c r="O9" s="17">
        <f>O76</f>
        <v/>
      </c>
      <c r="P9" s="17">
        <f>P76</f>
        <v/>
      </c>
      <c r="Q9" s="17">
        <f>Q76</f>
        <v/>
      </c>
    </row>
    <row r="10">
      <c r="A10" t="inlineStr">
        <is>
          <t>Free cash</t>
        </is>
      </c>
      <c r="D10" s="17">
        <f>D77</f>
        <v/>
      </c>
      <c r="E10" s="17">
        <f>E77</f>
        <v/>
      </c>
      <c r="F10" s="17">
        <f>F77</f>
        <v/>
      </c>
      <c r="G10" s="17">
        <f>G77</f>
        <v/>
      </c>
      <c r="H10" s="17">
        <f>H77</f>
        <v/>
      </c>
      <c r="I10" s="17">
        <f>I77</f>
        <v/>
      </c>
      <c r="J10" s="17">
        <f>J77</f>
        <v/>
      </c>
      <c r="K10" s="17">
        <f>K77</f>
        <v/>
      </c>
      <c r="L10" s="17">
        <f>L77</f>
        <v/>
      </c>
      <c r="M10" s="17">
        <f>M77</f>
        <v/>
      </c>
      <c r="N10" s="17">
        <f>N77</f>
        <v/>
      </c>
      <c r="O10" s="17">
        <f>O77</f>
        <v/>
      </c>
      <c r="P10" s="17">
        <f>P77</f>
        <v/>
      </c>
      <c r="Q10" s="17">
        <f>Q77</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D74</f>
        <v/>
      </c>
      <c r="E12" s="17">
        <f>E74</f>
        <v/>
      </c>
      <c r="F12" s="17">
        <f>F74</f>
        <v/>
      </c>
      <c r="G12" s="17">
        <f>G74</f>
        <v/>
      </c>
      <c r="H12" s="17">
        <f>H74</f>
        <v/>
      </c>
      <c r="I12" s="17">
        <f>I74</f>
        <v/>
      </c>
      <c r="J12" s="17">
        <f>J74</f>
        <v/>
      </c>
      <c r="K12" s="17">
        <f>K74</f>
        <v/>
      </c>
      <c r="L12" s="17">
        <f>L74</f>
        <v/>
      </c>
      <c r="M12" s="17">
        <f>M74</f>
        <v/>
      </c>
      <c r="N12" s="17">
        <f>N74</f>
        <v/>
      </c>
      <c r="O12" s="17">
        <f>O74</f>
        <v/>
      </c>
      <c r="P12" s="17">
        <f>P74</f>
        <v/>
      </c>
      <c r="Q12" s="17">
        <f>Q74</f>
        <v/>
      </c>
    </row>
    <row r="13">
      <c r="A13" s="27" t="inlineStr">
        <is>
          <t>Total revenue</t>
        </is>
      </c>
      <c r="B13" s="27" t="n"/>
      <c r="C13" s="27" t="n"/>
      <c r="D13" s="29">
        <f>D78-D48</f>
        <v/>
      </c>
      <c r="E13" s="29">
        <f>E78-E48</f>
        <v/>
      </c>
      <c r="F13" s="29">
        <f>F78-F48</f>
        <v/>
      </c>
      <c r="G13" s="29">
        <f>G78-G48</f>
        <v/>
      </c>
      <c r="H13" s="29">
        <f>H78-H48</f>
        <v/>
      </c>
      <c r="I13" s="29">
        <f>I78-I48</f>
        <v/>
      </c>
      <c r="J13" s="29">
        <f>J78-J48</f>
        <v/>
      </c>
      <c r="K13" s="29">
        <f>K78-K48</f>
        <v/>
      </c>
      <c r="L13" s="29">
        <f>L78-L48</f>
        <v/>
      </c>
      <c r="M13" s="29">
        <f>M78-M48</f>
        <v/>
      </c>
      <c r="N13" s="29">
        <f>N78-N48</f>
        <v/>
      </c>
      <c r="O13" s="29">
        <f>O78-O48</f>
        <v/>
      </c>
      <c r="P13" s="29">
        <f>P78-P48</f>
        <v/>
      </c>
      <c r="Q13" s="29">
        <f>Q78-Q48</f>
        <v/>
      </c>
    </row>
    <row r="15">
      <c r="A15" s="2" t="inlineStr">
        <is>
          <t>Spending</t>
        </is>
      </c>
    </row>
    <row r="16">
      <c r="A16" t="inlineStr">
        <is>
          <t>Town departments, today's services</t>
        </is>
      </c>
      <c r="D16" s="17">
        <f>A_TD*(K_pD*D66+(1-K_pD)*D58)+D37</f>
        <v/>
      </c>
      <c r="E16" s="17">
        <f>A_TD*(K_pD*E66+(1-K_pD)*E58)+E37</f>
        <v/>
      </c>
      <c r="F16" s="17">
        <f>A_TD*(K_pD*F66+(1-K_pD)*F58)+F37</f>
        <v/>
      </c>
      <c r="G16" s="17">
        <f>A_TD*(K_pD*G66+(1-K_pD)*G58)+G37</f>
        <v/>
      </c>
      <c r="H16" s="17">
        <f>A_TD*(K_pD*H66+(1-K_pD)*H58)+H37</f>
        <v/>
      </c>
      <c r="I16" s="17">
        <f>A_TD*(K_pD*I66+(1-K_pD)*I58)+I37</f>
        <v/>
      </c>
      <c r="J16" s="17">
        <f>A_TD*(K_pD*J66+(1-K_pD)*J58)+J37</f>
        <v/>
      </c>
      <c r="K16" s="17">
        <f>A_TD*(K_pD*K66+(1-K_pD)*K58)+K37</f>
        <v/>
      </c>
      <c r="L16" s="17">
        <f>A_TD*(K_pD*L66+(1-K_pD)*L58)+L37</f>
        <v/>
      </c>
      <c r="M16" s="17">
        <f>A_TD*(K_pD*M66+(1-K_pD)*M58)+M37</f>
        <v/>
      </c>
      <c r="N16" s="17">
        <f>A_TD*(K_pD*N66+(1-K_pD)*N58)+N37</f>
        <v/>
      </c>
      <c r="O16" s="17">
        <f>A_TD*(K_pD*O66+(1-K_pD)*O58)+O37</f>
        <v/>
      </c>
      <c r="P16" s="17">
        <f>A_TD*(K_pD*P66+(1-K_pD)*P58)+P37</f>
        <v/>
      </c>
      <c r="Q16" s="17">
        <f>A_TD*(K_pD*Q66+(1-K_pD)*Q58)+Q37</f>
        <v/>
      </c>
    </row>
    <row r="17">
      <c r="A17" t="inlineStr">
        <is>
          <t>Town services for added homes and businesses</t>
        </is>
      </c>
      <c r="D17" s="17">
        <f>(D34*CostHome*(1-K_PSShare*(FireStep*(1-K_PSSharePol)+PoliceStep*K_PSSharePol))+D67*K_CostPerEmp)*PayToFY27*D55+D36+D39</f>
        <v/>
      </c>
      <c r="E17" s="17">
        <f>(E34*CostHome*(1-K_PSShare*(FireStep*(1-K_PSSharePol)+PoliceStep*K_PSSharePol))+E67*K_CostPerEmp)*PayToFY27*E55+K_Permit*MAX(E45/E46-1,0)*E55+E36+E39</f>
        <v/>
      </c>
      <c r="F17" s="17">
        <f>(F34*CostHome*(1-K_PSShare*(FireStep*(1-K_PSSharePol)+PoliceStep*K_PSSharePol))+F67*K_CostPerEmp)*PayToFY27*F55+K_Permit*MAX(F45/F46-1,0)*F55+F36+F39</f>
        <v/>
      </c>
      <c r="G17" s="17">
        <f>(G34*CostHome*(1-K_PSShare*(FireStep*(1-K_PSSharePol)+PoliceStep*K_PSSharePol))+G67*K_CostPerEmp)*PayToFY27*G55+K_Permit*MAX(G45/G46-1,0)*G55+G36+G39</f>
        <v/>
      </c>
      <c r="H17" s="17">
        <f>(H34*CostHome*(1-K_PSShare*(FireStep*(1-K_PSSharePol)+PoliceStep*K_PSSharePol))+H67*K_CostPerEmp)*PayToFY27*H55+K_Permit*MAX(H45/H46-1,0)*H55+H36+H39</f>
        <v/>
      </c>
      <c r="I17" s="17">
        <f>(I34*CostHome*(1-K_PSShare*(FireStep*(1-K_PSSharePol)+PoliceStep*K_PSSharePol))+I67*K_CostPerEmp)*PayToFY27*I55+K_Permit*MAX(I45/I46-1,0)*I55+I36+I39</f>
        <v/>
      </c>
      <c r="J17" s="17">
        <f>(J34*CostHome*(1-K_PSShare*(FireStep*(1-K_PSSharePol)+PoliceStep*K_PSSharePol))+J67*K_CostPerEmp)*PayToFY27*J55+K_Permit*MAX(J45/J46-1,0)*J55+J36+J39</f>
        <v/>
      </c>
      <c r="K17" s="17">
        <f>(K34*CostHome*(1-K_PSShare*(FireStep*(1-K_PSSharePol)+PoliceStep*K_PSSharePol))+K67*K_CostPerEmp)*PayToFY27*K55+K_Permit*MAX(K45/K46-1,0)*K55+K36+K39</f>
        <v/>
      </c>
      <c r="L17" s="17">
        <f>(L34*CostHome*(1-K_PSShare*(FireStep*(1-K_PSSharePol)+PoliceStep*K_PSSharePol))+L67*K_CostPerEmp)*PayToFY27*L55+K_Permit*MAX(L45/L46-1,0)*L55+L36+L39</f>
        <v/>
      </c>
      <c r="M17" s="17">
        <f>(M34*CostHome*(1-K_PSShare*(FireStep*(1-K_PSSharePol)+PoliceStep*K_PSSharePol))+M67*K_CostPerEmp)*PayToFY27*M55+K_Permit*MAX(M45/M46-1,0)*M55+M36+M39</f>
        <v/>
      </c>
      <c r="N17" s="17">
        <f>(N34*CostHome*(1-K_PSShare*(FireStep*(1-K_PSSharePol)+PoliceStep*K_PSSharePol))+N67*K_CostPerEmp)*PayToFY27*N55+K_Permit*MAX(N45/N46-1,0)*N55+N36+N39</f>
        <v/>
      </c>
      <c r="O17" s="17">
        <f>(O34*CostHome*(1-K_PSShare*(FireStep*(1-K_PSSharePol)+PoliceStep*K_PSSharePol))+O67*K_CostPerEmp)*PayToFY27*O55+K_Permit*MAX(O45/O46-1,0)*O55+O36+O39</f>
        <v/>
      </c>
      <c r="P17" s="17">
        <f>(P34*CostHome*(1-K_PSShare*(FireStep*(1-K_PSSharePol)+PoliceStep*K_PSSharePol))+P67*K_CostPerEmp)*PayToFY27*P55+K_Permit*MAX(P45/P46-1,0)*P55+P36+P39</f>
        <v/>
      </c>
      <c r="Q17" s="17">
        <f>(Q34*CostHome*(1-K_PSShare*(FireStep*(1-K_PSSharePol)+PoliceStep*K_PSSharePol))+Q67*K_CostPerEmp)*PayToFY27*Q55+K_Permit*MAX(Q45/Q46-1,0)*Q55+Q36+Q39</f>
        <v/>
      </c>
    </row>
    <row r="18">
      <c r="A18" t="inlineStr">
        <is>
          <t>Schools</t>
        </is>
      </c>
      <c r="D18" s="17">
        <f>A_Sch*(K_SPS*D57*D33/Staff27+(1-K_SPS)*D59*((1-K_V)+K_V*D32/Enroll27))+D63*(K_FillSeat-A_Sch*(1-K_SPS)*K_V/Enroll27)*D57/$D$57</f>
        <v/>
      </c>
      <c r="E18" s="17">
        <f>A_Sch*(K_SPS*E57*E33/Staff27+(1-K_SPS)*E59*((1-K_V)+K_V*E32/Enroll27))+E63*(K_FillSeat-A_Sch*(1-K_SPS)*K_V/Enroll27)*E57/$D$57</f>
        <v/>
      </c>
      <c r="F18" s="17">
        <f>A_Sch*(K_SPS*F57*F33/Staff27+(1-K_SPS)*F59*((1-K_V)+K_V*F32/Enroll27))+F63*(K_FillSeat-A_Sch*(1-K_SPS)*K_V/Enroll27)*F57/$D$57</f>
        <v/>
      </c>
      <c r="G18" s="17">
        <f>A_Sch*(K_SPS*G57*G33/Staff27+(1-K_SPS)*G59*((1-K_V)+K_V*G32/Enroll27))+G63*(K_FillSeat-A_Sch*(1-K_SPS)*K_V/Enroll27)*G57/$D$57</f>
        <v/>
      </c>
      <c r="H18" s="17">
        <f>A_Sch*(K_SPS*H57*H33/Staff27+(1-K_SPS)*H59*((1-K_V)+K_V*H32/Enroll27))+H63*(K_FillSeat-A_Sch*(1-K_SPS)*K_V/Enroll27)*H57/$D$57</f>
        <v/>
      </c>
      <c r="I18" s="17">
        <f>A_Sch*(K_SPS*I57*I33/Staff27+(1-K_SPS)*I59*((1-K_V)+K_V*I32/Enroll27))+I63*(K_FillSeat-A_Sch*(1-K_SPS)*K_V/Enroll27)*I57/$D$57</f>
        <v/>
      </c>
      <c r="J18" s="17">
        <f>A_Sch*(K_SPS*J57*J33/Staff27+(1-K_SPS)*J59*((1-K_V)+K_V*J32/Enroll27))+J63*(K_FillSeat-A_Sch*(1-K_SPS)*K_V/Enroll27)*J57/$D$57</f>
        <v/>
      </c>
      <c r="K18" s="17">
        <f>A_Sch*(K_SPS*K57*K33/Staff27+(1-K_SPS)*K59*((1-K_V)+K_V*K32/Enroll27))+K63*(K_FillSeat-A_Sch*(1-K_SPS)*K_V/Enroll27)*K57/$D$57</f>
        <v/>
      </c>
      <c r="L18" s="17">
        <f>A_Sch*(K_SPS*L57*L33/Staff27+(1-K_SPS)*L59*((1-K_V)+K_V*L32/Enroll27))+L63*(K_FillSeat-A_Sch*(1-K_SPS)*K_V/Enroll27)*L57/$D$57</f>
        <v/>
      </c>
      <c r="M18" s="17">
        <f>A_Sch*(K_SPS*M57*M33/Staff27+(1-K_SPS)*M59*((1-K_V)+K_V*M32/Enroll27))+M63*(K_FillSeat-A_Sch*(1-K_SPS)*K_V/Enroll27)*M57/$D$57</f>
        <v/>
      </c>
      <c r="N18" s="17">
        <f>A_Sch*(K_SPS*N57*N33/Staff27+(1-K_SPS)*N59*((1-K_V)+K_V*N32/Enroll27))+N63*(K_FillSeat-A_Sch*(1-K_SPS)*K_V/Enroll27)*N57/$D$57</f>
        <v/>
      </c>
      <c r="O18" s="17">
        <f>A_Sch*(K_SPS*O57*O33/Staff27+(1-K_SPS)*O59*((1-K_V)+K_V*O32/Enroll27))+O63*(K_FillSeat-A_Sch*(1-K_SPS)*K_V/Enroll27)*O57/$D$57</f>
        <v/>
      </c>
      <c r="P18" s="17">
        <f>A_Sch*(K_SPS*P57*P33/Staff27+(1-K_SPS)*P59*((1-K_V)+K_V*P32/Enroll27))+P63*(K_FillSeat-A_Sch*(1-K_SPS)*K_V/Enroll27)*P57/$D$57</f>
        <v/>
      </c>
      <c r="Q18" s="17">
        <f>A_Sch*(K_SPS*Q57*Q33/Staff27+(1-K_SPS)*Q59*((1-K_V)+K_V*Q32/Enroll27))+Q63*(K_FillSeat-A_Sch*(1-K_SPS)*K_V/Enroll27)*Q57/$D$57</f>
        <v/>
      </c>
    </row>
    <row r="19">
      <c r="A19" t="inlineStr">
        <is>
          <t>Health insurance</t>
        </is>
      </c>
      <c r="D19" s="17">
        <f>A_GH*D71*D60</f>
        <v/>
      </c>
      <c r="E19" s="17">
        <f>A_GH*E71*E60</f>
        <v/>
      </c>
      <c r="F19" s="17">
        <f>A_GH*F71*F60</f>
        <v/>
      </c>
      <c r="G19" s="17">
        <f>A_GH*G71*G60</f>
        <v/>
      </c>
      <c r="H19" s="17">
        <f>A_GH*H71*H60</f>
        <v/>
      </c>
      <c r="I19" s="17">
        <f>A_GH*I71*I60</f>
        <v/>
      </c>
      <c r="J19" s="17">
        <f>A_GH*J71*J60</f>
        <v/>
      </c>
      <c r="K19" s="17">
        <f>A_GH*K71*K60</f>
        <v/>
      </c>
      <c r="L19" s="17">
        <f>A_GH*L71*L60</f>
        <v/>
      </c>
      <c r="M19" s="17">
        <f>A_GH*M71*M60</f>
        <v/>
      </c>
      <c r="N19" s="17">
        <f>A_GH*N71*N60</f>
        <v/>
      </c>
      <c r="O19" s="17">
        <f>A_GH*O71*O60</f>
        <v/>
      </c>
      <c r="P19" s="17">
        <f>A_GH*P71*P60</f>
        <v/>
      </c>
      <c r="Q19" s="17">
        <f>A_GH*Q71*Q60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E69</f>
        <v/>
      </c>
      <c r="F21" s="17">
        <f>F69</f>
        <v/>
      </c>
      <c r="G21" s="17">
        <f>IF(AND(PensionSlip&gt;0,G$4&gt;=2030,G$4&lt;=2030+PensionSlip),PenNC30+PenSlipPay,G69)</f>
        <v/>
      </c>
      <c r="H21" s="17">
        <f>IF(AND(PensionSlip&gt;0,H$4&gt;=2030,H$4&lt;=2030+PensionSlip),H69+PenSlipPay,H69)</f>
        <v/>
      </c>
      <c r="I21" s="17">
        <f>IF(AND(PensionSlip&gt;0,I$4&gt;=2030,I$4&lt;=2030+PensionSlip),I69+PenSlipPay,I69)</f>
        <v/>
      </c>
      <c r="J21" s="17">
        <f>IF(AND(PensionSlip&gt;0,J$4&gt;=2030,J$4&lt;=2030+PensionSlip),J69+PenSlipPay,J69)</f>
        <v/>
      </c>
      <c r="K21" s="17">
        <f>IF(AND(PensionSlip&gt;0,K$4&gt;=2030,K$4&lt;=2030+PensionSlip),K69+PenSlipPay,K69)</f>
        <v/>
      </c>
      <c r="L21" s="17">
        <f>IF(AND(PensionSlip&gt;0,L$4&gt;=2030,L$4&lt;=2030+PensionSlip),L69+PenSlipPay,L69)</f>
        <v/>
      </c>
      <c r="M21" s="17">
        <f>IF(AND(PensionSlip&gt;0,M$4&gt;=2030,M$4&lt;=2030+PensionSlip),M69+PenSlipPay,M69)</f>
        <v/>
      </c>
      <c r="N21" s="17">
        <f>IF(AND(PensionSlip&gt;0,N$4&gt;=2030,N$4&lt;=2030+PensionSlip),N69+PenSlipPay,N69)</f>
        <v/>
      </c>
      <c r="O21" s="17">
        <f>IF(AND(PensionSlip&gt;0,O$4&gt;=2030,O$4&lt;=2030+PensionSlip),O69+PenSlipPay,O69)</f>
        <v/>
      </c>
      <c r="P21" s="17">
        <f>IF(AND(PensionSlip&gt;0,P$4&gt;=2030,P$4&lt;=2030+PensionSlip),P69+PenSlipPay,P69)</f>
        <v/>
      </c>
      <c r="Q21" s="17">
        <f>IF(AND(PensionSlip&gt;0,Q$4&gt;=2030,Q$4&lt;=2030+PensionSlip),Q69+PenSlipPay,Q69)</f>
        <v/>
      </c>
    </row>
    <row r="22">
      <c r="A22" t="inlineStr">
        <is>
          <t>Retiree health (OPEB)</t>
        </is>
      </c>
      <c r="D22" s="17">
        <f>A_OPEB</f>
        <v/>
      </c>
      <c r="E22" s="17">
        <f>IF(AND(OpebHold=1,Redirect=1),E85,E86)</f>
        <v/>
      </c>
      <c r="F22" s="17">
        <f>IF(AND(OpebHold=1,Redirect=1),F85,F86)</f>
        <v/>
      </c>
      <c r="G22" s="17">
        <f>IF(AND(OpebHold=1,Redirect=1),G85,G86)</f>
        <v/>
      </c>
      <c r="H22" s="17">
        <f>IF(AND(OpebHold=1,Redirect=1),H85,H86)</f>
        <v/>
      </c>
      <c r="I22" s="17">
        <f>IF(AND(OpebHold=1,Redirect=1),I85,I86)</f>
        <v/>
      </c>
      <c r="J22" s="17">
        <f>IF(AND(OpebHold=1,Redirect=1),J85,J86)</f>
        <v/>
      </c>
      <c r="K22" s="17">
        <f>IF(AND(OpebHold=1,Redirect=1),K85,K86)</f>
        <v/>
      </c>
      <c r="L22" s="17">
        <f>IF(AND(OpebHold=1,Redirect=1),L85,L86)</f>
        <v/>
      </c>
      <c r="M22" s="17">
        <f>IF(AND(OpebHold=1,Redirect=1),M85,M86)</f>
        <v/>
      </c>
      <c r="N22" s="17">
        <f>IF(AND(OpebHold=1,Redirect=1),N85,N86)</f>
        <v/>
      </c>
      <c r="O22" s="17">
        <f>IF(AND(OpebHold=1,Redirect=1),O85,O86)</f>
        <v/>
      </c>
      <c r="P22" s="17">
        <f>IF(AND(OpebHold=1,Redirect=1),P85,P86)</f>
        <v/>
      </c>
      <c r="Q22" s="17">
        <f>IF(AND(OpebHold=1,Redirect=1),Q85,Q86)</f>
        <v/>
      </c>
    </row>
    <row r="23">
      <c r="A23" t="inlineStr">
        <is>
          <t>Other benefits</t>
        </is>
      </c>
      <c r="D23" s="17">
        <f>A_OB</f>
        <v/>
      </c>
      <c r="E23" s="17">
        <f>Data!E28</f>
        <v/>
      </c>
      <c r="F23" s="17">
        <f>Data!F28</f>
        <v/>
      </c>
      <c r="G23" s="17">
        <f>Data!G28</f>
        <v/>
      </c>
      <c r="H23" s="17">
        <f>Data!H28</f>
        <v/>
      </c>
      <c r="I23" s="17">
        <f>Data!$H$28*I68/$H$68</f>
        <v/>
      </c>
      <c r="J23" s="17">
        <f>Data!$H$28*J68/$H$68</f>
        <v/>
      </c>
      <c r="K23" s="17">
        <f>Data!$H$28*K68/$H$68</f>
        <v/>
      </c>
      <c r="L23" s="17">
        <f>Data!$H$28*L68/$H$68</f>
        <v/>
      </c>
      <c r="M23" s="17">
        <f>Data!$H$28*M68/$H$68</f>
        <v/>
      </c>
      <c r="N23" s="17">
        <f>Data!$H$28*N68/$H$68</f>
        <v/>
      </c>
      <c r="O23" s="17">
        <f>Data!$H$28*O68/$H$68</f>
        <v/>
      </c>
      <c r="P23" s="17">
        <f>Data!$H$28*P68/$H$68</f>
        <v/>
      </c>
      <c r="Q23" s="17">
        <f>Data!$H$28*Q68/$H$68</f>
        <v/>
      </c>
    </row>
    <row r="24">
      <c r="A24" t="inlineStr">
        <is>
          <t>Debt within the levy</t>
        </is>
      </c>
      <c r="D24" s="17">
        <f>A_Debt</f>
        <v/>
      </c>
      <c r="E24" s="17">
        <f>Data!E29</f>
        <v/>
      </c>
      <c r="F24" s="17">
        <f>Data!F29</f>
        <v/>
      </c>
      <c r="G24" s="17">
        <f>Data!G29</f>
        <v/>
      </c>
      <c r="H24" s="17">
        <f>Data!H29</f>
        <v/>
      </c>
      <c r="I24" s="17">
        <f>Data!I29</f>
        <v/>
      </c>
      <c r="J24" s="17">
        <f>Data!$I$29*(1+K_DebtGrowth)^(J$4-2032)</f>
        <v/>
      </c>
      <c r="K24" s="17">
        <f>Data!$I$29*(1+K_DebtGrowth)^(K$4-2032)</f>
        <v/>
      </c>
      <c r="L24" s="17">
        <f>Data!$I$29*(1+K_DebtGrowth)^(L$4-2032)</f>
        <v/>
      </c>
      <c r="M24" s="17">
        <f>Data!$I$29*(1+K_DebtGrowth)^(M$4-2032)</f>
        <v/>
      </c>
      <c r="N24" s="17">
        <f>Data!$I$29*(1+K_DebtGrowth)^(N$4-2032)</f>
        <v/>
      </c>
      <c r="O24" s="17">
        <f>Data!$I$29*(1+K_DebtGrowth)^(O$4-2032)</f>
        <v/>
      </c>
      <c r="P24" s="17">
        <f>Data!$I$29*(1+K_DebtGrowth)^(P$4-2032)</f>
        <v/>
      </c>
      <c r="Q24" s="17">
        <f>Data!$I$29*(1+K_DebtGrowth)^(Q$4-2032)</f>
        <v/>
      </c>
    </row>
    <row r="25">
      <c r="A25" t="inlineStr">
        <is>
          <t>Capital, reserves and other</t>
        </is>
      </c>
      <c r="D25" s="17">
        <f>A_Other</f>
        <v/>
      </c>
      <c r="E25" s="17">
        <f>Data!E30+IF(CapFull=1,MAX(K_CIP*D79-E24-Data!E31,0),0)+K_Reserve*D79-Data!E32+E77-(Data!E34+K_FCDeposit*Data!E33+K_FCReserve*D79)</f>
        <v/>
      </c>
      <c r="F25" s="17">
        <f>Data!F30+IF(CapFull=1,MAX(K_CIP*E79-F24-Data!F31,0),0)+K_Reserve*E79-Data!F32+F77-(Data!F34+K_FCDeposit*Data!F33+K_FCReserve*E79)</f>
        <v/>
      </c>
      <c r="G25" s="17">
        <f>Data!G30+IF(CapFull=1,MAX(K_CIP*F79-G24-Data!G31,0),0)+K_Reserve*F79-Data!G32+G77-(Data!G34+K_FCDeposit*Data!G33+K_FCReserve*F79)</f>
        <v/>
      </c>
      <c r="H25" s="17">
        <f>Data!H30+IF(CapFull=1,MAX(K_CIP*G79-H24-Data!H31,0),0)+K_Reserve*G79-Data!H32+H77-(Data!H34+K_FCDeposit*Data!H33+K_FCReserve*G79)</f>
        <v/>
      </c>
      <c r="I25" s="17">
        <f>Data!I30+IF(CapFull=1,MAX(K_CIP*H79-I24-Data!I31,0),0)+K_Reserve*H79-Data!H32+K_GenFY31*(H79/$G$79-1)+K_NonAppFY31*((1+K_NonAppG)^(I$4-2031)-1)+I77-(Data!I34+K_FCDeposit*K_GenFY31*H79/$G$79+K_FCReserve*H79)</f>
        <v/>
      </c>
      <c r="J25" s="17">
        <f>Data!J30+IF(CapFull=1,MAX(K_CIP*I79-J24-Data!J31,0),0)+K_Reserve*I79-Data!H32+K_GenFY31*(I79/$G$79-1)+K_NonAppFY31*((1+K_NonAppG)^(J$4-2031)-1)+J77-(Data!J34+K_FCDeposit*K_GenFY31*I79/$G$79+K_FCReserve*I79)</f>
        <v/>
      </c>
      <c r="K25" s="17">
        <f>Data!K30+IF(CapFull=1,MAX(K_CIP*J79-K24-Data!K31,0),0)+K_Reserve*J79-Data!H32+K_GenFY31*(J79/$G$79-1)+K_NonAppFY31*((1+K_NonAppG)^(K$4-2031)-1)+K77-(Data!K34+K_FCDeposit*K_GenFY31*J79/$G$79+K_FCReserve*J79)</f>
        <v/>
      </c>
      <c r="L25" s="17">
        <f>Data!L30+IF(CapFull=1,MAX(K_CIP*K79-L24-Data!L31,0),0)+K_Reserve*K79-Data!H32+K_GenFY31*(K79/$G$79-1)+K_NonAppFY31*((1+K_NonAppG)^(L$4-2031)-1)+L77-(Data!L34+K_FCDeposit*K_GenFY31*K79/$G$79+K_FCReserve*K79)</f>
        <v/>
      </c>
      <c r="M25" s="17">
        <f>Data!M30+IF(CapFull=1,MAX(K_CIP*L79-M24-Data!M31,0),0)+K_Reserve*L79-Data!H32+K_GenFY31*(L79/$G$79-1)+K_NonAppFY31*((1+K_NonAppG)^(M$4-2031)-1)+M77-(Data!M34+K_FCDeposit*K_GenFY31*L79/$G$79+K_FCReserve*L79)</f>
        <v/>
      </c>
      <c r="N25" s="17">
        <f>Data!N30+IF(CapFull=1,MAX(K_CIP*M79-N24-Data!N31,0),0)+K_Reserve*M79-Data!H32+K_GenFY31*(M79/$G$79-1)+K_NonAppFY31*((1+K_NonAppG)^(N$4-2031)-1)+N77-(Data!N34+K_FCDeposit*K_GenFY31*M79/$G$79+K_FCReserve*M79)</f>
        <v/>
      </c>
      <c r="O25" s="17">
        <f>Data!O30+IF(CapFull=1,MAX(K_CIP*N79-O24-Data!O31,0),0)+K_Reserve*N79-Data!H32+K_GenFY31*(N79/$G$79-1)+K_NonAppFY31*((1+K_NonAppG)^(O$4-2031)-1)+O77-(Data!O34+K_FCDeposit*K_GenFY31*N79/$G$79+K_FCReserve*N79)</f>
        <v/>
      </c>
      <c r="P25" s="17">
        <f>Data!P30+IF(CapFull=1,MAX(K_CIP*O79-P24-Data!P31,0),0)+K_Reserve*O79-Data!H32+K_GenFY31*(O79/$G$79-1)+K_NonAppFY31*((1+K_NonAppG)^(P$4-2031)-1)+P77-(Data!P34+K_FCDeposit*K_GenFY31*O79/$G$79+K_FCReserve*O79)</f>
        <v/>
      </c>
      <c r="Q25" s="17">
        <f>Data!Q30+IF(CapFull=1,MAX(K_CIP*P79-Q24-Data!Q31,0),0)+K_Reserve*P79-Data!H32+K_GenFY31*(P79/$G$79-1)+K_NonAppFY31*((1+K_NonAppG)^(Q$4-2031)-1)+Q77-(Data!Q34+K_FCDeposit*K_GenFY31*P79/$G$79+K_FCReserve*P79)</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Staff27*(1-K_V)+K_V*C65</f>
        <v/>
      </c>
      <c r="D33" s="33">
        <f>Staff27*(1-K_V)+K_V*D65</f>
        <v/>
      </c>
      <c r="E33" s="33">
        <f>Staff27*(1-K_V)+K_V*E65</f>
        <v/>
      </c>
      <c r="F33" s="33">
        <f>Staff27*(1-K_V)+K_V*F65</f>
        <v/>
      </c>
      <c r="G33" s="33">
        <f>Staff27*(1-K_V)+K_V*G65</f>
        <v/>
      </c>
      <c r="H33" s="33">
        <f>Staff27*(1-K_V)+K_V*H65</f>
        <v/>
      </c>
      <c r="I33" s="33">
        <f>Staff27*(1-K_V)+K_V*I65</f>
        <v/>
      </c>
      <c r="J33" s="33">
        <f>Staff27*(1-K_V)+K_V*J65</f>
        <v/>
      </c>
      <c r="K33" s="33">
        <f>Staff27*(1-K_V)+K_V*K65</f>
        <v/>
      </c>
      <c r="L33" s="33">
        <f>Staff27*(1-K_V)+K_V*L65</f>
        <v/>
      </c>
      <c r="M33" s="33">
        <f>Staff27*(1-K_V)+K_V*M65</f>
        <v/>
      </c>
      <c r="N33" s="33">
        <f>Staff27*(1-K_V)+K_V*N65</f>
        <v/>
      </c>
      <c r="O33" s="33">
        <f>Staff27*(1-K_V)+K_V*O65</f>
        <v/>
      </c>
      <c r="P33" s="33">
        <f>Staff27*(1-K_V)+K_V*P65</f>
        <v/>
      </c>
      <c r="Q33" s="33">
        <f>Staff27*(1-K_V)+K_V*Q65</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25,IF(AND(EnrollMode="flat",C$4&gt;2027),Data!$D$10,Data!C11*(1+Migration)^0+Data!C12*(1+Migration)^1+Data!C13*(1+Migration)^2+Data!C14*(1+Migration)^3+Data!C15*(1+Migration)^4+Data!C16*(1+Migration)^5+Data!C17*(1+Migration)^6+Data!C18*(1+Migration)^7+Data!C19*(1+Migration)^8+Data!C20*(1+Migration)^9+Data!C21*(1+Migration)^10+Data!C22*(1+Migration)^11+Data!C23*(1+Migration)^12+Data!C24*(1+Migration)^13))</f>
        <v/>
      </c>
      <c r="D61" s="37">
        <f>IF(EnrollMode="cm",Data!D25,IF(AND(EnrollMode="flat",D$4&gt;2027),Data!$D$10,Data!D11*(1+Migration)^0+Data!D12*(1+Migration)^1+Data!D13*(1+Migration)^2+Data!D14*(1+Migration)^3+Data!D15*(1+Migration)^4+Data!D16*(1+Migration)^5+Data!D17*(1+Migration)^6+Data!D18*(1+Migration)^7+Data!D19*(1+Migration)^8+Data!D20*(1+Migration)^9+Data!D21*(1+Migration)^10+Data!D22*(1+Migration)^11+Data!D23*(1+Migration)^12+Data!D24*(1+Migration)^13))</f>
        <v/>
      </c>
      <c r="E61" s="37">
        <f>IF(EnrollMode="cm",Data!E25,IF(AND(EnrollMode="flat",E$4&gt;2027),Data!$D$10,Data!E11*(1+Migration)^0+Data!E12*(1+Migration)^1+Data!E13*(1+Migration)^2+Data!E14*(1+Migration)^3+Data!E15*(1+Migration)^4+Data!E16*(1+Migration)^5+Data!E17*(1+Migration)^6+Data!E18*(1+Migration)^7+Data!E19*(1+Migration)^8+Data!E20*(1+Migration)^9+Data!E21*(1+Migration)^10+Data!E22*(1+Migration)^11+Data!E23*(1+Migration)^12+Data!E24*(1+Migration)^13))</f>
        <v/>
      </c>
      <c r="F61" s="37">
        <f>IF(EnrollMode="cm",Data!F25,IF(AND(EnrollMode="flat",F$4&gt;2027),Data!$D$10,Data!F11*(1+Migration)^0+Data!F12*(1+Migration)^1+Data!F13*(1+Migration)^2+Data!F14*(1+Migration)^3+Data!F15*(1+Migration)^4+Data!F16*(1+Migration)^5+Data!F17*(1+Migration)^6+Data!F18*(1+Migration)^7+Data!F19*(1+Migration)^8+Data!F20*(1+Migration)^9+Data!F21*(1+Migration)^10+Data!F22*(1+Migration)^11+Data!F23*(1+Migration)^12+Data!F24*(1+Migration)^13))</f>
        <v/>
      </c>
      <c r="G61" s="37">
        <f>IF(EnrollMode="cm",Data!G25,IF(AND(EnrollMode="flat",G$4&gt;2027),Data!$D$10,Data!G11*(1+Migration)^0+Data!G12*(1+Migration)^1+Data!G13*(1+Migration)^2+Data!G14*(1+Migration)^3+Data!G15*(1+Migration)^4+Data!G16*(1+Migration)^5+Data!G17*(1+Migration)^6+Data!G18*(1+Migration)^7+Data!G19*(1+Migration)^8+Data!G20*(1+Migration)^9+Data!G21*(1+Migration)^10+Data!G22*(1+Migration)^11+Data!G23*(1+Migration)^12+Data!G24*(1+Migration)^13))</f>
        <v/>
      </c>
      <c r="H61" s="37">
        <f>IF(EnrollMode="cm",Data!H25,IF(AND(EnrollMode="flat",H$4&gt;2027),Data!$D$10,Data!H11*(1+Migration)^0+Data!H12*(1+Migration)^1+Data!H13*(1+Migration)^2+Data!H14*(1+Migration)^3+Data!H15*(1+Migration)^4+Data!H16*(1+Migration)^5+Data!H17*(1+Migration)^6+Data!H18*(1+Migration)^7+Data!H19*(1+Migration)^8+Data!H20*(1+Migration)^9+Data!H21*(1+Migration)^10+Data!H22*(1+Migration)^11+Data!H23*(1+Migration)^12+Data!H24*(1+Migration)^13))</f>
        <v/>
      </c>
      <c r="I61" s="37">
        <f>IF(EnrollMode="cm",Data!I25,IF(AND(EnrollMode="flat",I$4&gt;2027),Data!$D$10,Data!I11*(1+Migration)^0+Data!I12*(1+Migration)^1+Data!I13*(1+Migration)^2+Data!I14*(1+Migration)^3+Data!I15*(1+Migration)^4+Data!I16*(1+Migration)^5+Data!I17*(1+Migration)^6+Data!I18*(1+Migration)^7+Data!I19*(1+Migration)^8+Data!I20*(1+Migration)^9+Data!I21*(1+Migration)^10+Data!I22*(1+Migration)^11+Data!I23*(1+Migration)^12+Data!I24*(1+Migration)^13))</f>
        <v/>
      </c>
      <c r="J61" s="37">
        <f>IF(EnrollMode="cm",Data!J25,IF(AND(EnrollMode="flat",J$4&gt;2027),Data!$D$10,Data!J11*(1+Migration)^0+Data!J12*(1+Migration)^1+Data!J13*(1+Migration)^2+Data!J14*(1+Migration)^3+Data!J15*(1+Migration)^4+Data!J16*(1+Migration)^5+Data!J17*(1+Migration)^6+Data!J18*(1+Migration)^7+Data!J19*(1+Migration)^8+Data!J20*(1+Migration)^9+Data!J21*(1+Migration)^10+Data!J22*(1+Migration)^11+Data!J23*(1+Migration)^12+Data!J24*(1+Migration)^13))</f>
        <v/>
      </c>
      <c r="K61" s="37">
        <f>IF(EnrollMode="cm",Data!K25,IF(AND(EnrollMode="flat",K$4&gt;2027),Data!$D$10,Data!K11*(1+Migration)^0+Data!K12*(1+Migration)^1+Data!K13*(1+Migration)^2+Data!K14*(1+Migration)^3+Data!K15*(1+Migration)^4+Data!K16*(1+Migration)^5+Data!K17*(1+Migration)^6+Data!K18*(1+Migration)^7+Data!K19*(1+Migration)^8+Data!K20*(1+Migration)^9+Data!K21*(1+Migration)^10+Data!K22*(1+Migration)^11+Data!K23*(1+Migration)^12+Data!K24*(1+Migration)^13))</f>
        <v/>
      </c>
      <c r="L61" s="37">
        <f>IF(EnrollMode="cm",Data!L25,IF(AND(EnrollMode="flat",L$4&gt;2027),Data!$D$10,Data!L11*(1+Migration)^0+Data!L12*(1+Migration)^1+Data!L13*(1+Migration)^2+Data!L14*(1+Migration)^3+Data!L15*(1+Migration)^4+Data!L16*(1+Migration)^5+Data!L17*(1+Migration)^6+Data!L18*(1+Migration)^7+Data!L19*(1+Migration)^8+Data!L20*(1+Migration)^9+Data!L21*(1+Migration)^10+Data!L22*(1+Migration)^11+Data!L23*(1+Migration)^12+Data!L24*(1+Migration)^13))</f>
        <v/>
      </c>
      <c r="M61" s="37">
        <f>IF(EnrollMode="cm",Data!M25,IF(AND(EnrollMode="flat",M$4&gt;2027),Data!$D$10,Data!M11*(1+Migration)^0+Data!M12*(1+Migration)^1+Data!M13*(1+Migration)^2+Data!M14*(1+Migration)^3+Data!M15*(1+Migration)^4+Data!M16*(1+Migration)^5+Data!M17*(1+Migration)^6+Data!M18*(1+Migration)^7+Data!M19*(1+Migration)^8+Data!M20*(1+Migration)^9+Data!M21*(1+Migration)^10+Data!M22*(1+Migration)^11+Data!M23*(1+Migration)^12+Data!M24*(1+Migration)^13))</f>
        <v/>
      </c>
      <c r="N61" s="37">
        <f>IF(EnrollMode="cm",Data!N25,IF(AND(EnrollMode="flat",N$4&gt;2027),Data!$D$10,Data!N11*(1+Migration)^0+Data!N12*(1+Migration)^1+Data!N13*(1+Migration)^2+Data!N14*(1+Migration)^3+Data!N15*(1+Migration)^4+Data!N16*(1+Migration)^5+Data!N17*(1+Migration)^6+Data!N18*(1+Migration)^7+Data!N19*(1+Migration)^8+Data!N20*(1+Migration)^9+Data!N21*(1+Migration)^10+Data!N22*(1+Migration)^11+Data!N23*(1+Migration)^12+Data!N24*(1+Migration)^13))</f>
        <v/>
      </c>
      <c r="O61" s="37">
        <f>IF(EnrollMode="cm",Data!O25,IF(AND(EnrollMode="flat",O$4&gt;2027),Data!$D$10,Data!O11*(1+Migration)^0+Data!O12*(1+Migration)^1+Data!O13*(1+Migration)^2+Data!O14*(1+Migration)^3+Data!O15*(1+Migration)^4+Data!O16*(1+Migration)^5+Data!O17*(1+Migration)^6+Data!O18*(1+Migration)^7+Data!O19*(1+Migration)^8+Data!O20*(1+Migration)^9+Data!O21*(1+Migration)^10+Data!O22*(1+Migration)^11+Data!O23*(1+Migration)^12+Data!O24*(1+Migration)^13))</f>
        <v/>
      </c>
      <c r="P61" s="37">
        <f>IF(EnrollMode="cm",Data!P25,IF(AND(EnrollMode="flat",P$4&gt;2027),Data!$D$10,Data!P11*(1+Migration)^0+Data!P12*(1+Migration)^1+Data!P13*(1+Migration)^2+Data!P14*(1+Migration)^3+Data!P15*(1+Migration)^4+Data!P16*(1+Migration)^5+Data!P17*(1+Migration)^6+Data!P18*(1+Migration)^7+Data!P19*(1+Migration)^8+Data!P20*(1+Migration)^9+Data!P21*(1+Migration)^10+Data!P22*(1+Migration)^11+Data!P23*(1+Migration)^12+Data!P24*(1+Migration)^13))</f>
        <v/>
      </c>
      <c r="Q61" s="37">
        <f>IF(EnrollMode="cm",Data!Q25,IF(AND(EnrollMode="flat",Q$4&gt;2027),Data!$D$10,Data!Q11*(1+Migration)^0+Data!Q12*(1+Migration)^1+Data!Q13*(1+Migration)^2+Data!Q14*(1+Migration)^3+Data!Q15*(1+Migration)^4+Data!Q16*(1+Migration)^5+Data!Q17*(1+Migration)^6+Data!Q18*(1+Migration)^7+Data!Q19*(1+Migration)^8+Data!Q20*(1+Migration)^9+Data!Q21*(1+Migration)^10+Data!Q22*(1+Migration)^11+Data!Q23*(1+Migration)^12+Data!Q24*(1+Migration)^13))</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from growth filling open seats, unstaffed</t>
        </is>
      </c>
      <c r="C63" s="37">
        <f>IF(AND(FillCap=1,RatioMode="keep"),MAX(MIN(C62,Enroll27-C61),0),IF(AND(FillCap=1,RatioMode="half"),MIN(C62,0.5*MAX(Enroll27-C61,0)),0))</f>
        <v/>
      </c>
      <c r="D63" s="37">
        <f>IF(AND(FillCap=1,RatioMode="keep"),MAX(MIN(D62,Enroll27-D61),0),IF(AND(FillCap=1,RatioMode="half"),MIN(D62,0.5*MAX(Enroll27-D61,0)),0))</f>
        <v/>
      </c>
      <c r="E63" s="37">
        <f>IF(AND(FillCap=1,RatioMode="keep"),MAX(MIN(E62,Enroll27-E61),0),IF(AND(FillCap=1,RatioMode="half"),MIN(E62,0.5*MAX(Enroll27-E61,0)),0))</f>
        <v/>
      </c>
      <c r="F63" s="37">
        <f>IF(AND(FillCap=1,RatioMode="keep"),MAX(MIN(F62,Enroll27-F61),0),IF(AND(FillCap=1,RatioMode="half"),MIN(F62,0.5*MAX(Enroll27-F61,0)),0))</f>
        <v/>
      </c>
      <c r="G63" s="37">
        <f>IF(AND(FillCap=1,RatioMode="keep"),MAX(MIN(G62,Enroll27-G61),0),IF(AND(FillCap=1,RatioMode="half"),MIN(G62,0.5*MAX(Enroll27-G61,0)),0))</f>
        <v/>
      </c>
      <c r="H63" s="37">
        <f>IF(AND(FillCap=1,RatioMode="keep"),MAX(MIN(H62,Enroll27-H61),0),IF(AND(FillCap=1,RatioMode="half"),MIN(H62,0.5*MAX(Enroll27-H61,0)),0))</f>
        <v/>
      </c>
      <c r="I63" s="37">
        <f>IF(AND(FillCap=1,RatioMode="keep"),MAX(MIN(I62,Enroll27-I61),0),IF(AND(FillCap=1,RatioMode="half"),MIN(I62,0.5*MAX(Enroll27-I61,0)),0))</f>
        <v/>
      </c>
      <c r="J63" s="37">
        <f>IF(AND(FillCap=1,RatioMode="keep"),MAX(MIN(J62,Enroll27-J61),0),IF(AND(FillCap=1,RatioMode="half"),MIN(J62,0.5*MAX(Enroll27-J61,0)),0))</f>
        <v/>
      </c>
      <c r="K63" s="37">
        <f>IF(AND(FillCap=1,RatioMode="keep"),MAX(MIN(K62,Enroll27-K61),0),IF(AND(FillCap=1,RatioMode="half"),MIN(K62,0.5*MAX(Enroll27-K61,0)),0))</f>
        <v/>
      </c>
      <c r="L63" s="37">
        <f>IF(AND(FillCap=1,RatioMode="keep"),MAX(MIN(L62,Enroll27-L61),0),IF(AND(FillCap=1,RatioMode="half"),MIN(L62,0.5*MAX(Enroll27-L61,0)),0))</f>
        <v/>
      </c>
      <c r="M63" s="37">
        <f>IF(AND(FillCap=1,RatioMode="keep"),MAX(MIN(M62,Enroll27-M61),0),IF(AND(FillCap=1,RatioMode="half"),MIN(M62,0.5*MAX(Enroll27-M61,0)),0))</f>
        <v/>
      </c>
      <c r="N63" s="37">
        <f>IF(AND(FillCap=1,RatioMode="keep"),MAX(MIN(N62,Enroll27-N61),0),IF(AND(FillCap=1,RatioMode="half"),MIN(N62,0.5*MAX(Enroll27-N61,0)),0))</f>
        <v/>
      </c>
      <c r="O63" s="37">
        <f>IF(AND(FillCap=1,RatioMode="keep"),MAX(MIN(O62,Enroll27-O61),0),IF(AND(FillCap=1,RatioMode="half"),MIN(O62,0.5*MAX(Enroll27-O61,0)),0))</f>
        <v/>
      </c>
      <c r="P63" s="37">
        <f>IF(AND(FillCap=1,RatioMode="keep"),MAX(MIN(P62,Enroll27-P61),0),IF(AND(FillCap=1,RatioMode="half"),MIN(P62,0.5*MAX(Enroll27-P61,0)),0))</f>
        <v/>
      </c>
      <c r="Q63" s="37">
        <f>IF(AND(FillCap=1,RatioMode="keep"),MAX(MIN(Q62,Enroll27-Q61),0),IF(AND(FillCap=1,RatioMode="half"),MIN(Q62,0.5*MAX(Enroll27-Q61,0)),0))</f>
        <v/>
      </c>
    </row>
    <row r="64">
      <c r="A64" t="inlineStr">
        <is>
          <t>Students per staff member</t>
        </is>
      </c>
      <c r="C64" s="39">
        <f>IF(RatioMode="partial",Ratio27+(RatioTarget-Ratio27)*MIN(MAX((C$4-2027)/5,0),1),Ratio27)</f>
        <v/>
      </c>
      <c r="D64" s="39">
        <f>IF(RatioMode="partial",Ratio27+(RatioTarget-Ratio27)*MIN(MAX((D$4-2027)/5,0),1),Ratio27)</f>
        <v/>
      </c>
      <c r="E64" s="39">
        <f>IF(RatioMode="partial",Ratio27+(RatioTarget-Ratio27)*MIN(MAX((E$4-2027)/5,0),1),Ratio27)</f>
        <v/>
      </c>
      <c r="F64" s="39">
        <f>IF(RatioMode="partial",Ratio27+(RatioTarget-Ratio27)*MIN(MAX((F$4-2027)/5,0),1),Ratio27)</f>
        <v/>
      </c>
      <c r="G64" s="39">
        <f>IF(RatioMode="partial",Ratio27+(RatioTarget-Ratio27)*MIN(MAX((G$4-2027)/5,0),1),Ratio27)</f>
        <v/>
      </c>
      <c r="H64" s="39">
        <f>IF(RatioMode="partial",Ratio27+(RatioTarget-Ratio27)*MIN(MAX((H$4-2027)/5,0),1),Ratio27)</f>
        <v/>
      </c>
      <c r="I64" s="39">
        <f>IF(RatioMode="partial",Ratio27+(RatioTarget-Ratio27)*MIN(MAX((I$4-2027)/5,0),1),Ratio27)</f>
        <v/>
      </c>
      <c r="J64" s="39">
        <f>IF(RatioMode="partial",Ratio27+(RatioTarget-Ratio27)*MIN(MAX((J$4-2027)/5,0),1),Ratio27)</f>
        <v/>
      </c>
      <c r="K64" s="39">
        <f>IF(RatioMode="partial",Ratio27+(RatioTarget-Ratio27)*MIN(MAX((K$4-2027)/5,0),1),Ratio27)</f>
        <v/>
      </c>
      <c r="L64" s="39">
        <f>IF(RatioMode="partial",Ratio27+(RatioTarget-Ratio27)*MIN(MAX((L$4-2027)/5,0),1),Ratio27)</f>
        <v/>
      </c>
      <c r="M64" s="39">
        <f>IF(RatioMode="partial",Ratio27+(RatioTarget-Ratio27)*MIN(MAX((M$4-2027)/5,0),1),Ratio27)</f>
        <v/>
      </c>
      <c r="N64" s="39">
        <f>IF(RatioMode="partial",Ratio27+(RatioTarget-Ratio27)*MIN(MAX((N$4-2027)/5,0),1),Ratio27)</f>
        <v/>
      </c>
      <c r="O64" s="39">
        <f>IF(RatioMode="partial",Ratio27+(RatioTarget-Ratio27)*MIN(MAX((O$4-2027)/5,0),1),Ratio27)</f>
        <v/>
      </c>
      <c r="P64" s="39">
        <f>IF(RatioMode="partial",Ratio27+(RatioTarget-Ratio27)*MIN(MAX((P$4-2027)/5,0),1),Ratio27)</f>
        <v/>
      </c>
      <c r="Q64" s="39">
        <f>IF(RatioMode="partial",Ratio27+(RatioTarget-Ratio27)*MIN(MAX((Q$4-2027)/5,0),1),Ratio27)</f>
        <v/>
      </c>
    </row>
    <row r="65">
      <c r="A65" t="inlineStr">
        <is>
          <t>Staff implied by the staffing rule</t>
        </is>
      </c>
      <c r="C65"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64))))</f>
        <v/>
      </c>
      <c r="D65"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64))))</f>
        <v/>
      </c>
      <c r="E65"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64))))</f>
        <v/>
      </c>
      <c r="F65"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64))))</f>
        <v/>
      </c>
      <c r="G65"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64))))</f>
        <v/>
      </c>
      <c r="H65"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64))))</f>
        <v/>
      </c>
      <c r="I65"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64))))</f>
        <v/>
      </c>
      <c r="J65"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64))))</f>
        <v/>
      </c>
      <c r="K65"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64))))</f>
        <v/>
      </c>
      <c r="L65"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64))))</f>
        <v/>
      </c>
      <c r="M65"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64))))</f>
        <v/>
      </c>
      <c r="N65"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64))))</f>
        <v/>
      </c>
      <c r="O65"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64))))</f>
        <v/>
      </c>
      <c r="P65"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64))))</f>
        <v/>
      </c>
      <c r="Q65"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64))))</f>
        <v/>
      </c>
    </row>
    <row r="66">
      <c r="A66" t="inlineStr">
        <is>
          <t>Town pay index, weighted for Public Safety</t>
        </is>
      </c>
      <c r="D66" s="40">
        <f>K_psD*D56+(1-K_psD)*D55</f>
        <v/>
      </c>
      <c r="E66" s="40">
        <f>K_psD*E56+(1-K_psD)*E55</f>
        <v/>
      </c>
      <c r="F66" s="40">
        <f>K_psD*F56+(1-K_psD)*F55</f>
        <v/>
      </c>
      <c r="G66" s="40">
        <f>K_psD*G56+(1-K_psD)*G55</f>
        <v/>
      </c>
      <c r="H66" s="40">
        <f>K_psD*H56+(1-K_psD)*H55</f>
        <v/>
      </c>
      <c r="I66" s="40">
        <f>K_psD*I56+(1-K_psD)*I55</f>
        <v/>
      </c>
      <c r="J66" s="40">
        <f>K_psD*J56+(1-K_psD)*J55</f>
        <v/>
      </c>
      <c r="K66" s="40">
        <f>K_psD*K56+(1-K_psD)*K55</f>
        <v/>
      </c>
      <c r="L66" s="40">
        <f>K_psD*L56+(1-K_psD)*L55</f>
        <v/>
      </c>
      <c r="M66" s="40">
        <f>K_psD*M56+(1-K_psD)*M55</f>
        <v/>
      </c>
      <c r="N66" s="40">
        <f>K_psD*N56+(1-K_psD)*N55</f>
        <v/>
      </c>
      <c r="O66" s="40">
        <f>K_psD*O56+(1-K_psD)*O55</f>
        <v/>
      </c>
      <c r="P66" s="40">
        <f>K_psD*P56+(1-K_psD)*P55</f>
        <v/>
      </c>
      <c r="Q66" s="40">
        <f>K_psD*Q56+(1-K_psD)*Q55</f>
        <v/>
      </c>
    </row>
    <row r="67">
      <c r="A67" t="inlineStr">
        <is>
          <t>Added commercial employees</t>
        </is>
      </c>
      <c r="D67" s="37">
        <f>D53/K_SqftPerEmp+K_ChcaEmp*D54</f>
        <v/>
      </c>
      <c r="E67" s="37">
        <f>E53/K_SqftPerEmp+K_ChcaEmp*E54</f>
        <v/>
      </c>
      <c r="F67" s="37">
        <f>F53/K_SqftPerEmp+K_ChcaEmp*F54</f>
        <v/>
      </c>
      <c r="G67" s="37">
        <f>G53/K_SqftPerEmp+K_ChcaEmp*G54</f>
        <v/>
      </c>
      <c r="H67" s="37">
        <f>H53/K_SqftPerEmp+K_ChcaEmp*H54</f>
        <v/>
      </c>
      <c r="I67" s="37">
        <f>I53/K_SqftPerEmp+K_ChcaEmp*I54</f>
        <v/>
      </c>
      <c r="J67" s="37">
        <f>J53/K_SqftPerEmp+K_ChcaEmp*J54</f>
        <v/>
      </c>
      <c r="K67" s="37">
        <f>K53/K_SqftPerEmp+K_ChcaEmp*K54</f>
        <v/>
      </c>
      <c r="L67" s="37">
        <f>L53/K_SqftPerEmp+K_ChcaEmp*L54</f>
        <v/>
      </c>
      <c r="M67" s="37">
        <f>M53/K_SqftPerEmp+K_ChcaEmp*M54</f>
        <v/>
      </c>
      <c r="N67" s="37">
        <f>N53/K_SqftPerEmp+K_ChcaEmp*N54</f>
        <v/>
      </c>
      <c r="O67" s="37">
        <f>O53/K_SqftPerEmp+K_ChcaEmp*O54</f>
        <v/>
      </c>
      <c r="P67" s="37">
        <f>P53/K_SqftPerEmp+K_ChcaEmp*P54</f>
        <v/>
      </c>
      <c r="Q67" s="37">
        <f>Q53/K_SqftPerEmp+K_ChcaEmp*Q54</f>
        <v/>
      </c>
    </row>
    <row r="68">
      <c r="A68" t="inlineStr">
        <is>
          <t>Payroll index, Town and school staff, weighted by FY2027 pay</t>
        </is>
      </c>
      <c r="D68" s="40">
        <f>(A_TD*K_pD*D66+A_Sch*K_SPS*D57*D33/Staff27)/(A_TD*K_pD+A_Sch*K_SPS)</f>
        <v/>
      </c>
      <c r="E68" s="40">
        <f>(A_TD*K_pD*E66+A_Sch*K_SPS*E57*E33/Staff27)/(A_TD*K_pD+A_Sch*K_SPS)</f>
        <v/>
      </c>
      <c r="F68" s="40">
        <f>(A_TD*K_pD*F66+A_Sch*K_SPS*F57*F33/Staff27)/(A_TD*K_pD+A_Sch*K_SPS)</f>
        <v/>
      </c>
      <c r="G68" s="40">
        <f>(A_TD*K_pD*G66+A_Sch*K_SPS*G57*G33/Staff27)/(A_TD*K_pD+A_Sch*K_SPS)</f>
        <v/>
      </c>
      <c r="H68" s="40">
        <f>(A_TD*K_pD*H66+A_Sch*K_SPS*H57*H33/Staff27)/(A_TD*K_pD+A_Sch*K_SPS)</f>
        <v/>
      </c>
      <c r="I68" s="40">
        <f>(A_TD*K_pD*I66+A_Sch*K_SPS*I57*I33/Staff27)/(A_TD*K_pD+A_Sch*K_SPS)</f>
        <v/>
      </c>
      <c r="J68" s="40">
        <f>(A_TD*K_pD*J66+A_Sch*K_SPS*J57*J33/Staff27)/(A_TD*K_pD+A_Sch*K_SPS)</f>
        <v/>
      </c>
      <c r="K68" s="40">
        <f>(A_TD*K_pD*K66+A_Sch*K_SPS*K57*K33/Staff27)/(A_TD*K_pD+A_Sch*K_SPS)</f>
        <v/>
      </c>
      <c r="L68" s="40">
        <f>(A_TD*K_pD*L66+A_Sch*K_SPS*L57*L33/Staff27)/(A_TD*K_pD+A_Sch*K_SPS)</f>
        <v/>
      </c>
      <c r="M68" s="40">
        <f>(A_TD*K_pD*M66+A_Sch*K_SPS*M57*M33/Staff27)/(A_TD*K_pD+A_Sch*K_SPS)</f>
        <v/>
      </c>
      <c r="N68" s="40">
        <f>(A_TD*K_pD*N66+A_Sch*K_SPS*N57*N33/Staff27)/(A_TD*K_pD+A_Sch*K_SPS)</f>
        <v/>
      </c>
      <c r="O68" s="40">
        <f>(A_TD*K_pD*O66+A_Sch*K_SPS*O57*O33/Staff27)/(A_TD*K_pD+A_Sch*K_SPS)</f>
        <v/>
      </c>
      <c r="P68" s="40">
        <f>(A_TD*K_pD*P66+A_Sch*K_SPS*P57*P33/Staff27)/(A_TD*K_pD+A_Sch*K_SPS)</f>
        <v/>
      </c>
      <c r="Q68" s="40">
        <f>(A_TD*K_pD*Q66+A_Sch*K_SPS*Q57*Q33/Staff27)/(A_TD*K_pD+A_Sch*K_SPS)</f>
        <v/>
      </c>
    </row>
    <row r="69">
      <c r="A69" t="inlineStr">
        <is>
          <t>Pensions on schedule (before any slip)</t>
        </is>
      </c>
      <c r="D69" s="22">
        <f>A_Pen</f>
        <v/>
      </c>
      <c r="E69" s="22">
        <f>Data!E26</f>
        <v/>
      </c>
      <c r="F69" s="22">
        <f>Data!F26</f>
        <v/>
      </c>
      <c r="G69" s="22">
        <f>Data!G26</f>
        <v/>
      </c>
      <c r="H69" s="22">
        <f>Data!H26</f>
        <v/>
      </c>
      <c r="I69" s="22">
        <f>Data!$H$26*(1+PayTown+K_PenNCPrem)^(I$4-2031)</f>
        <v/>
      </c>
      <c r="J69" s="22">
        <f>Data!$H$26*(1+PayTown+K_PenNCPrem)^(J$4-2031)</f>
        <v/>
      </c>
      <c r="K69" s="22">
        <f>Data!$H$26*(1+PayTown+K_PenNCPrem)^(K$4-2031)</f>
        <v/>
      </c>
      <c r="L69" s="22">
        <f>Data!$H$26*(1+PayTown+K_PenNCPrem)^(L$4-2031)</f>
        <v/>
      </c>
      <c r="M69" s="22">
        <f>Data!$H$26*(1+PayTown+K_PenNCPrem)^(M$4-2031)</f>
        <v/>
      </c>
      <c r="N69" s="22">
        <f>Data!$H$26*(1+PayTown+K_PenNCPrem)^(N$4-2031)</f>
        <v/>
      </c>
      <c r="O69" s="22">
        <f>Data!$H$26*(1+PayTown+K_PenNCPrem)^(O$4-2031)</f>
        <v/>
      </c>
      <c r="P69" s="22">
        <f>Data!$H$26*(1+PayTown+K_PenNCPrem)^(P$4-2031)</f>
        <v/>
      </c>
      <c r="Q69" s="22">
        <f>Data!$H$26*(1+PayTown+K_PenNCPrem)^(Q$4-2031)</f>
        <v/>
      </c>
    </row>
    <row r="70">
      <c r="A70" t="inlineStr">
        <is>
          <t>Town and school staff</t>
        </is>
      </c>
      <c r="D70" s="37">
        <f>K_TownFTE+D33</f>
        <v/>
      </c>
      <c r="E70" s="37">
        <f>K_TownFTE+E33</f>
        <v/>
      </c>
      <c r="F70" s="37">
        <f>K_TownFTE+F33</f>
        <v/>
      </c>
      <c r="G70" s="37">
        <f>K_TownFTE+G33</f>
        <v/>
      </c>
      <c r="H70" s="37">
        <f>K_TownFTE+H33</f>
        <v/>
      </c>
      <c r="I70" s="37">
        <f>K_TownFTE+I33</f>
        <v/>
      </c>
      <c r="J70" s="37">
        <f>K_TownFTE+J33</f>
        <v/>
      </c>
      <c r="K70" s="37">
        <f>K_TownFTE+K33</f>
        <v/>
      </c>
      <c r="L70" s="37">
        <f>K_TownFTE+L33</f>
        <v/>
      </c>
      <c r="M70" s="37">
        <f>K_TownFTE+M33</f>
        <v/>
      </c>
      <c r="N70" s="37">
        <f>K_TownFTE+N33</f>
        <v/>
      </c>
      <c r="O70" s="37">
        <f>K_TownFTE+O33</f>
        <v/>
      </c>
      <c r="P70" s="37">
        <f>K_TownFTE+P33</f>
        <v/>
      </c>
      <c r="Q70" s="37">
        <f>K_TownFTE+Q33</f>
        <v/>
      </c>
    </row>
    <row r="71">
      <c r="A71" t="inlineStr">
        <is>
          <t>Health plan subscribers index</t>
        </is>
      </c>
      <c r="D71" s="40">
        <f>K_ActShare*D70/AllStaff27+(1-K_ActShare)*(1+K_RetGrowth)^(D$4-2027)</f>
        <v/>
      </c>
      <c r="E71" s="40">
        <f>K_ActShare*E70/AllStaff27+(1-K_ActShare)*(1+K_RetGrowth)^(E$4-2027)</f>
        <v/>
      </c>
      <c r="F71" s="40">
        <f>K_ActShare*F70/AllStaff27+(1-K_ActShare)*(1+K_RetGrowth)^(F$4-2027)</f>
        <v/>
      </c>
      <c r="G71" s="40">
        <f>K_ActShare*G70/AllStaff27+(1-K_ActShare)*(1+K_RetGrowth)^(G$4-2027)</f>
        <v/>
      </c>
      <c r="H71" s="40">
        <f>K_ActShare*H70/AllStaff27+(1-K_ActShare)*(1+K_RetGrowth)^(H$4-2027)</f>
        <v/>
      </c>
      <c r="I71" s="40">
        <f>K_ActShare*I70/AllStaff27+(1-K_ActShare)*(1+K_RetGrowth)^(I$4-2027)</f>
        <v/>
      </c>
      <c r="J71" s="40">
        <f>K_ActShare*J70/AllStaff27+(1-K_ActShare)*(1+K_RetGrowth)^(J$4-2027)</f>
        <v/>
      </c>
      <c r="K71" s="40">
        <f>K_ActShare*K70/AllStaff27+(1-K_ActShare)*(1+K_RetGrowth)^(K$4-2027)</f>
        <v/>
      </c>
      <c r="L71" s="40">
        <f>K_ActShare*L70/AllStaff27+(1-K_ActShare)*(1+K_RetGrowth)^(L$4-2027)</f>
        <v/>
      </c>
      <c r="M71" s="40">
        <f>K_ActShare*M70/AllStaff27+(1-K_ActShare)*(1+K_RetGrowth)^(M$4-2027)</f>
        <v/>
      </c>
      <c r="N71" s="40">
        <f>K_ActShare*N70/AllStaff27+(1-K_ActShare)*(1+K_RetGrowth)^(N$4-2027)</f>
        <v/>
      </c>
      <c r="O71" s="40">
        <f>K_ActShare*O70/AllStaff27+(1-K_ActShare)*(1+K_RetGrowth)^(O$4-2027)</f>
        <v/>
      </c>
      <c r="P71" s="40">
        <f>K_ActShare*P70/AllStaff27+(1-K_ActShare)*(1+K_RetGrowth)^(P$4-2027)</f>
        <v/>
      </c>
      <c r="Q71" s="40">
        <f>K_ActShare*Q70/AllStaff27+(1-K_ActShare)*(1+K_RetGrowth)^(Q$4-2027)</f>
        <v/>
      </c>
    </row>
    <row r="72">
      <c r="A72" t="inlineStr">
        <is>
          <t>State aid</t>
        </is>
      </c>
      <c r="C72" s="22">
        <f>R_SA2026</f>
        <v/>
      </c>
      <c r="D72" s="22">
        <f>R_SA2027*(1+StateAidGrowth)^(D$4-2027)</f>
        <v/>
      </c>
      <c r="E72" s="22">
        <f>R_SA2027*(1+StateAidGrowth)^(E$4-2027)</f>
        <v/>
      </c>
      <c r="F72" s="22">
        <f>R_SA2027*(1+StateAidGrowth)^(F$4-2027)</f>
        <v/>
      </c>
      <c r="G72" s="22">
        <f>R_SA2027*(1+StateAidGrowth)^(G$4-2027)</f>
        <v/>
      </c>
      <c r="H72" s="22">
        <f>R_SA2027*(1+StateAidGrowth)^(H$4-2027)</f>
        <v/>
      </c>
      <c r="I72" s="22">
        <f>R_SA2027*(1+StateAidGrowth)^(I$4-2027)</f>
        <v/>
      </c>
      <c r="J72" s="22">
        <f>R_SA2027*(1+StateAidGrowth)^(J$4-2027)</f>
        <v/>
      </c>
      <c r="K72" s="22">
        <f>R_SA2027*(1+StateAidGrowth)^(K$4-2027)</f>
        <v/>
      </c>
      <c r="L72" s="22">
        <f>R_SA2027*(1+StateAidGrowth)^(L$4-2027)</f>
        <v/>
      </c>
      <c r="M72" s="22">
        <f>R_SA2027*(1+StateAidGrowth)^(M$4-2027)</f>
        <v/>
      </c>
      <c r="N72" s="22">
        <f>R_SA2027*(1+StateAidGrowth)^(N$4-2027)</f>
        <v/>
      </c>
      <c r="O72" s="22">
        <f>R_SA2027*(1+StateAidGrowth)^(O$4-2027)</f>
        <v/>
      </c>
      <c r="P72" s="22">
        <f>R_SA2027*(1+StateAidGrowth)^(P$4-2027)</f>
        <v/>
      </c>
      <c r="Q72" s="22">
        <f>R_SA2027*(1+StateAidGrowth)^(Q$4-2027)</f>
        <v/>
      </c>
    </row>
    <row r="73">
      <c r="A73" t="inlineStr">
        <is>
          <t>Local receipts, actual</t>
        </is>
      </c>
      <c r="C73" s="22">
        <f>C50+R_LRresid2025*(1+ReceiptsGrowth)^(C$4-2025)</f>
        <v/>
      </c>
      <c r="D73" s="22">
        <f>D50+R_LRresid2025*(1+ReceiptsGrowth)^(D$4-2025)</f>
        <v/>
      </c>
      <c r="E73" s="22">
        <f>E50+R_LRresid2025*(1+ReceiptsGrowth)^(E$4-2025)</f>
        <v/>
      </c>
      <c r="F73" s="22">
        <f>F50+R_LRresid2025*(1+ReceiptsGrowth)^(F$4-2025)</f>
        <v/>
      </c>
      <c r="G73" s="22">
        <f>G50+R_LRresid2025*(1+ReceiptsGrowth)^(G$4-2025)</f>
        <v/>
      </c>
      <c r="H73" s="22">
        <f>H50+R_LRresid2025*(1+ReceiptsGrowth)^(H$4-2025)</f>
        <v/>
      </c>
      <c r="I73" s="22">
        <f>I50+R_LRresid2025*(1+ReceiptsGrowth)^(I$4-2025)</f>
        <v/>
      </c>
      <c r="J73" s="22">
        <f>J50+R_LRresid2025*(1+ReceiptsGrowth)^(J$4-2025)</f>
        <v/>
      </c>
      <c r="K73" s="22">
        <f>K50+R_LRresid2025*(1+ReceiptsGrowth)^(K$4-2025)</f>
        <v/>
      </c>
      <c r="L73" s="22">
        <f>L50+R_LRresid2025*(1+ReceiptsGrowth)^(L$4-2025)</f>
        <v/>
      </c>
      <c r="M73" s="22">
        <f>M50+R_LRresid2025*(1+ReceiptsGrowth)^(M$4-2025)</f>
        <v/>
      </c>
      <c r="N73" s="22">
        <f>N50+R_LRresid2025*(1+ReceiptsGrowth)^(N$4-2025)</f>
        <v/>
      </c>
      <c r="O73" s="22">
        <f>O50+R_LRresid2025*(1+ReceiptsGrowth)^(O$4-2025)</f>
        <v/>
      </c>
      <c r="P73" s="22">
        <f>P50+R_LRresid2025*(1+ReceiptsGrowth)^(P$4-2025)</f>
        <v/>
      </c>
      <c r="Q73" s="22">
        <f>Q50+R_LRresid2025*(1+ReceiptsGrowth)^(Q$4-2025)</f>
        <v/>
      </c>
    </row>
    <row r="74">
      <c r="A74" t="inlineStr">
        <is>
          <t>Further override</t>
        </is>
      </c>
      <c r="C74" s="22">
        <f>IF(AND(OvAmt&gt;0,C$4&gt;=OvYear),OvAmt*(1+K_LevyCap)^(C$4-OvYear),0)</f>
        <v/>
      </c>
      <c r="D74" s="22">
        <f>IF(AND(OvAmt&gt;0,D$4&gt;=OvYear),OvAmt*(1+K_LevyCap)^(D$4-OvYear),0)</f>
        <v/>
      </c>
      <c r="E74" s="22">
        <f>IF(AND(OvAmt&gt;0,E$4&gt;=OvYear),OvAmt*(1+K_LevyCap)^(E$4-OvYear),0)</f>
        <v/>
      </c>
      <c r="F74" s="22">
        <f>IF(AND(OvAmt&gt;0,F$4&gt;=OvYear),OvAmt*(1+K_LevyCap)^(F$4-OvYear),0)</f>
        <v/>
      </c>
      <c r="G74" s="22">
        <f>IF(AND(OvAmt&gt;0,G$4&gt;=OvYear),OvAmt*(1+K_LevyCap)^(G$4-OvYear),0)</f>
        <v/>
      </c>
      <c r="H74" s="22">
        <f>IF(AND(OvAmt&gt;0,H$4&gt;=OvYear),OvAmt*(1+K_LevyCap)^(H$4-OvYear),0)</f>
        <v/>
      </c>
      <c r="I74" s="22">
        <f>IF(AND(OvAmt&gt;0,I$4&gt;=OvYear),OvAmt*(1+K_LevyCap)^(I$4-OvYear),0)</f>
        <v/>
      </c>
      <c r="J74" s="22">
        <f>IF(AND(OvAmt&gt;0,J$4&gt;=OvYear),OvAmt*(1+K_LevyCap)^(J$4-OvYear),0)</f>
        <v/>
      </c>
      <c r="K74" s="22">
        <f>IF(AND(OvAmt&gt;0,K$4&gt;=OvYear),OvAmt*(1+K_LevyCap)^(K$4-OvYear),0)</f>
        <v/>
      </c>
      <c r="L74" s="22">
        <f>IF(AND(OvAmt&gt;0,L$4&gt;=OvYear),OvAmt*(1+K_LevyCap)^(L$4-OvYear),0)</f>
        <v/>
      </c>
      <c r="M74" s="22">
        <f>IF(AND(OvAmt&gt;0,M$4&gt;=OvYear),OvAmt*(1+K_LevyCap)^(M$4-OvYear),0)</f>
        <v/>
      </c>
      <c r="N74" s="22">
        <f>IF(AND(OvAmt&gt;0,N$4&gt;=OvYear),OvAmt*(1+K_LevyCap)^(N$4-OvYear),0)</f>
        <v/>
      </c>
      <c r="O74" s="22">
        <f>IF(AND(OvAmt&gt;0,O$4&gt;=OvYear),OvAmt*(1+K_LevyCap)^(O$4-OvYear),0)</f>
        <v/>
      </c>
      <c r="P74" s="22">
        <f>IF(AND(OvAmt&gt;0,P$4&gt;=OvYear),OvAmt*(1+K_LevyCap)^(P$4-OvYear),0)</f>
        <v/>
      </c>
      <c r="Q74" s="22">
        <f>IF(AND(OvAmt&gt;0,Q$4&gt;=OvYear),OvAmt*(1+K_LevyCap)^(Q$4-OvYear),0)</f>
        <v/>
      </c>
    </row>
    <row r="75">
      <c r="A75" t="inlineStr">
        <is>
          <t>Revenue before receipts and free cash</t>
        </is>
      </c>
      <c r="C75" s="22">
        <f>C47+C72+C49+C74</f>
        <v/>
      </c>
      <c r="D75" s="22">
        <f>D47+D72+D49+D74</f>
        <v/>
      </c>
      <c r="E75" s="22">
        <f>E47+E72+E49+E74</f>
        <v/>
      </c>
      <c r="F75" s="22">
        <f>F47+F72+F49+F74</f>
        <v/>
      </c>
      <c r="G75" s="22">
        <f>G47+G72+G49+G74</f>
        <v/>
      </c>
      <c r="H75" s="22">
        <f>H47+H72+H49+H74</f>
        <v/>
      </c>
      <c r="I75" s="22">
        <f>I47+I72+I49+I74</f>
        <v/>
      </c>
      <c r="J75" s="22">
        <f>J47+J72+J49+J74</f>
        <v/>
      </c>
      <c r="K75" s="22">
        <f>K47+K72+K49+K74</f>
        <v/>
      </c>
      <c r="L75" s="22">
        <f>L47+L72+L49+L74</f>
        <v/>
      </c>
      <c r="M75" s="22">
        <f>M47+M72+M49+M74</f>
        <v/>
      </c>
      <c r="N75" s="22">
        <f>N47+N72+N49+N74</f>
        <v/>
      </c>
      <c r="O75" s="22">
        <f>O47+O72+O49+O74</f>
        <v/>
      </c>
      <c r="P75" s="22">
        <f>P47+P72+P49+P74</f>
        <v/>
      </c>
      <c r="Q75" s="22">
        <f>Q47+Q72+Q49+Q74</f>
        <v/>
      </c>
    </row>
    <row r="76">
      <c r="A76" t="inlineStr">
        <is>
          <t>Local receipts, budgeted</t>
        </is>
      </c>
      <c r="C76" s="22">
        <f>Data!C36</f>
        <v/>
      </c>
      <c r="D76" s="22">
        <f>Data!D36</f>
        <v/>
      </c>
      <c r="E76" s="22">
        <f>E73*R_BudgetRatio</f>
        <v/>
      </c>
      <c r="F76" s="22">
        <f>F73*R_BudgetRatio</f>
        <v/>
      </c>
      <c r="G76" s="22">
        <f>G73*R_BudgetRatio</f>
        <v/>
      </c>
      <c r="H76" s="22">
        <f>H73*R_BudgetRatio</f>
        <v/>
      </c>
      <c r="I76" s="22">
        <f>I73*R_BudgetRatio</f>
        <v/>
      </c>
      <c r="J76" s="22">
        <f>J73*R_BudgetRatio</f>
        <v/>
      </c>
      <c r="K76" s="22">
        <f>K73*R_BudgetRatio</f>
        <v/>
      </c>
      <c r="L76" s="22">
        <f>L73*R_BudgetRatio</f>
        <v/>
      </c>
      <c r="M76" s="22">
        <f>M73*R_BudgetRatio</f>
        <v/>
      </c>
      <c r="N76" s="22">
        <f>N73*R_BudgetRatio</f>
        <v/>
      </c>
      <c r="O76" s="22">
        <f>O73*R_BudgetRatio</f>
        <v/>
      </c>
      <c r="P76" s="22">
        <f>P73*R_BudgetRatio</f>
        <v/>
      </c>
      <c r="Q76" s="22">
        <f>Q73*R_BudgetRatio</f>
        <v/>
      </c>
    </row>
    <row r="77">
      <c r="A77" t="inlineStr">
        <is>
          <t>Free cash</t>
        </is>
      </c>
      <c r="C77" s="22">
        <f>Data!C38</f>
        <v/>
      </c>
      <c r="D77" s="22">
        <f>Data!D38</f>
        <v/>
      </c>
      <c r="E77" s="22">
        <f>R_ApprShare*C80</f>
        <v/>
      </c>
      <c r="F77" s="22">
        <f>R_ApprShare*D80</f>
        <v/>
      </c>
      <c r="G77" s="22">
        <f>R_ApprShare*E80</f>
        <v/>
      </c>
      <c r="H77" s="22">
        <f>R_ApprShare*F80</f>
        <v/>
      </c>
      <c r="I77" s="22">
        <f>R_ApprShare*G80</f>
        <v/>
      </c>
      <c r="J77" s="22">
        <f>R_ApprShare*H80</f>
        <v/>
      </c>
      <c r="K77" s="22">
        <f>R_ApprShare*I80</f>
        <v/>
      </c>
      <c r="L77" s="22">
        <f>R_ApprShare*J80</f>
        <v/>
      </c>
      <c r="M77" s="22">
        <f>R_ApprShare*K80</f>
        <v/>
      </c>
      <c r="N77" s="22">
        <f>R_ApprShare*L80</f>
        <v/>
      </c>
      <c r="O77" s="22">
        <f>R_ApprShare*M80</f>
        <v/>
      </c>
      <c r="P77" s="22">
        <f>R_ApprShare*N80</f>
        <v/>
      </c>
      <c r="Q77" s="22">
        <f>R_ApprShare*O80</f>
        <v/>
      </c>
    </row>
    <row r="78">
      <c r="A78" t="inlineStr">
        <is>
          <t>Revenue including debt exclusion tax</t>
        </is>
      </c>
      <c r="C78" s="22">
        <f>C75+C76+C77</f>
        <v/>
      </c>
      <c r="D78" s="22">
        <f>D75+D76+D77</f>
        <v/>
      </c>
      <c r="E78" s="22">
        <f>E75+E76+E77</f>
        <v/>
      </c>
      <c r="F78" s="22">
        <f>F75+F76+F77</f>
        <v/>
      </c>
      <c r="G78" s="22">
        <f>G75+G76+G77</f>
        <v/>
      </c>
      <c r="H78" s="22">
        <f>H75+H76+H77</f>
        <v/>
      </c>
      <c r="I78" s="22">
        <f>I75+I76+I77</f>
        <v/>
      </c>
      <c r="J78" s="22">
        <f>J75+J76+J77</f>
        <v/>
      </c>
      <c r="K78" s="22">
        <f>K75+K76+K77</f>
        <v/>
      </c>
      <c r="L78" s="22">
        <f>L75+L76+L77</f>
        <v/>
      </c>
      <c r="M78" s="22">
        <f>M75+M76+M77</f>
        <v/>
      </c>
      <c r="N78" s="22">
        <f>N75+N76+N77</f>
        <v/>
      </c>
      <c r="O78" s="22">
        <f>O75+O76+O77</f>
        <v/>
      </c>
      <c r="P78" s="22">
        <f>P75+P76+P77</f>
        <v/>
      </c>
      <c r="Q78" s="22">
        <f>Q75+Q76+Q77</f>
        <v/>
      </c>
    </row>
    <row r="79">
      <c r="A79" t="inlineStr">
        <is>
          <t>Net revenue for the capital policy (less debt exclusions, free cash, non-appropriated items and any further override)</t>
        </is>
      </c>
      <c r="C79" s="22">
        <f>C78-C48-C77-C74-K_NonApp*(1+K_NonAppG)^(C$4-2027)</f>
        <v/>
      </c>
      <c r="D79" s="22">
        <f>D78-D48-D77-D74-K_NonApp*(1+K_NonAppG)^(D$4-2027)</f>
        <v/>
      </c>
      <c r="E79" s="22">
        <f>E78-E48-E77-E74-K_NonApp*(1+K_NonAppG)^(E$4-2027)</f>
        <v/>
      </c>
      <c r="F79" s="22">
        <f>F78-F48-F77-F74-K_NonApp*(1+K_NonAppG)^(F$4-2027)</f>
        <v/>
      </c>
      <c r="G79" s="22">
        <f>G78-G48-G77-G74-K_NonApp*(1+K_NonAppG)^(G$4-2027)</f>
        <v/>
      </c>
      <c r="H79" s="22">
        <f>H78-H48-H77-H74-K_NonApp*(1+K_NonAppG)^(H$4-2027)</f>
        <v/>
      </c>
      <c r="I79" s="22">
        <f>I78-I48-I77-I74-K_NonApp*(1+K_NonAppG)^(I$4-2027)</f>
        <v/>
      </c>
      <c r="J79" s="22">
        <f>J78-J48-J77-J74-K_NonApp*(1+K_NonAppG)^(J$4-2027)</f>
        <v/>
      </c>
      <c r="K79" s="22">
        <f>K78-K48-K77-K74-K_NonApp*(1+K_NonAppG)^(K$4-2027)</f>
        <v/>
      </c>
      <c r="L79" s="22">
        <f>L78-L48-L77-L74-K_NonApp*(1+K_NonAppG)^(L$4-2027)</f>
        <v/>
      </c>
      <c r="M79" s="22">
        <f>M78-M48-M77-M74-K_NonApp*(1+K_NonAppG)^(M$4-2027)</f>
        <v/>
      </c>
      <c r="N79" s="22">
        <f>N78-N48-N77-N74-K_NonApp*(1+K_NonAppG)^(N$4-2027)</f>
        <v/>
      </c>
      <c r="O79" s="22">
        <f>O78-O48-O77-O74-K_NonApp*(1+K_NonAppG)^(O$4-2027)</f>
        <v/>
      </c>
      <c r="P79" s="22">
        <f>P78-P48-P77-P74-K_NonApp*(1+K_NonAppG)^(P$4-2027)</f>
        <v/>
      </c>
      <c r="Q79" s="22">
        <f>Q78-Q48-Q77-Q74-K_NonApp*(1+K_NonAppG)^(Q$4-2027)</f>
        <v/>
      </c>
    </row>
    <row r="80">
      <c r="A80" t="inlineStr">
        <is>
          <t>Year-end surplus (returns as free cash two years later)</t>
        </is>
      </c>
      <c r="C80" s="22">
        <f>(C73-C76)+R_OtherSurplus*(C75+C73)</f>
        <v/>
      </c>
      <c r="D80" s="22">
        <f>(D73-D76)+R_OtherSurplus*(D75+D73)</f>
        <v/>
      </c>
      <c r="E80" s="22">
        <f>(E73-E76)+R_OtherSurplus*(E75+E73)</f>
        <v/>
      </c>
      <c r="F80" s="22">
        <f>(F73-F76)+R_OtherSurplus*(F75+F73)</f>
        <v/>
      </c>
      <c r="G80" s="22">
        <f>(G73-G76)+R_OtherSurplus*(G75+G73)</f>
        <v/>
      </c>
      <c r="H80" s="22">
        <f>(H73-H76)+R_OtherSurplus*(H75+H73)</f>
        <v/>
      </c>
      <c r="I80" s="22">
        <f>(I73-I76)+R_OtherSurplus*(I75+I73)</f>
        <v/>
      </c>
      <c r="J80" s="22">
        <f>(J73-J76)+R_OtherSurplus*(J75+J73)</f>
        <v/>
      </c>
      <c r="K80" s="22">
        <f>(K73-K76)+R_OtherSurplus*(K75+K73)</f>
        <v/>
      </c>
      <c r="L80" s="22">
        <f>(L73-L76)+R_OtherSurplus*(L75+L73)</f>
        <v/>
      </c>
      <c r="M80" s="22">
        <f>(M73-M76)+R_OtherSurplus*(M75+M73)</f>
        <v/>
      </c>
      <c r="N80" s="22">
        <f>(N73-N76)+R_OtherSurplus*(N75+N73)</f>
        <v/>
      </c>
      <c r="O80" s="22">
        <f>(O73-O76)+R_OtherSurplus*(O75+O73)</f>
        <v/>
      </c>
      <c r="P80" s="22">
        <f>(P73-P76)+R_OtherSurplus*(P75+P73)</f>
        <v/>
      </c>
      <c r="Q80" s="22">
        <f>(Q73-Q76)+R_OtherSurplus*(Q75+Q73)</f>
        <v/>
      </c>
    </row>
    <row r="81">
      <c r="A81" t="inlineStr">
        <is>
          <t>Retiree health: service cost</t>
        </is>
      </c>
      <c r="D81" s="22">
        <f>K_OpebSC27</f>
        <v/>
      </c>
      <c r="E81" s="22">
        <f>D81*(1+Data!E35)</f>
        <v/>
      </c>
      <c r="F81" s="22">
        <f>E81*(1+Data!F35)</f>
        <v/>
      </c>
      <c r="G81" s="22">
        <f>F81*(1+Data!G35)</f>
        <v/>
      </c>
      <c r="H81" s="22">
        <f>G81*(1+Data!H35)</f>
        <v/>
      </c>
      <c r="I81" s="22">
        <f>H81*(1+Data!I35)</f>
        <v/>
      </c>
      <c r="J81" s="22">
        <f>I81*(1+Data!J35)</f>
        <v/>
      </c>
      <c r="K81" s="22">
        <f>J81*(1+Data!K35)</f>
        <v/>
      </c>
      <c r="L81" s="22">
        <f>K81*(1+K_OpebTrendLong)</f>
        <v/>
      </c>
      <c r="M81" s="22">
        <f>L81*(1+K_OpebTrendLong)</f>
        <v/>
      </c>
      <c r="N81" s="22">
        <f>M81*(1+K_OpebTrendLong)</f>
        <v/>
      </c>
      <c r="O81" s="22">
        <f>N81*(1+K_OpebTrendLong)</f>
        <v/>
      </c>
      <c r="P81" s="22">
        <f>O81*(1+K_OpebTrendLong)</f>
        <v/>
      </c>
      <c r="Q81" s="22">
        <f>P81*(1+K_OpebTrendLong)</f>
        <v/>
      </c>
    </row>
    <row r="82">
      <c r="A82" t="inlineStr">
        <is>
          <t>Retiree health: benefits paid (in group health)</t>
        </is>
      </c>
      <c r="D82" s="22">
        <f>K_OpebB27</f>
        <v/>
      </c>
      <c r="E82" s="22">
        <f>D82*(1+Data!E35)*(1+K_RetGrowth)</f>
        <v/>
      </c>
      <c r="F82" s="22">
        <f>E82*(1+Data!F35)*(1+K_RetGrowth)</f>
        <v/>
      </c>
      <c r="G82" s="22">
        <f>F82*(1+Data!G35)*(1+K_RetGrowth)</f>
        <v/>
      </c>
      <c r="H82" s="22">
        <f>G82*(1+Data!H35)*(1+K_RetGrowth)</f>
        <v/>
      </c>
      <c r="I82" s="22">
        <f>H82*(1+Data!I35)*(1+K_RetGrowth)</f>
        <v/>
      </c>
      <c r="J82" s="22">
        <f>I82*(1+Data!J35)*(1+K_RetGrowth)</f>
        <v/>
      </c>
      <c r="K82" s="22">
        <f>J82*(1+Data!K35)*(1+K_RetGrowth)</f>
        <v/>
      </c>
      <c r="L82" s="22">
        <f>K82*(1+K_OpebTrendLong)*(1+K_RetGrowth)</f>
        <v/>
      </c>
      <c r="M82" s="22">
        <f>L82*(1+K_OpebTrendLong)*(1+K_RetGrowth)</f>
        <v/>
      </c>
      <c r="N82" s="22">
        <f>M82*(1+K_OpebTrendLong)*(1+K_RetGrowth)</f>
        <v/>
      </c>
      <c r="O82" s="22">
        <f>N82*(1+K_OpebTrendLong)*(1+K_RetGrowth)</f>
        <v/>
      </c>
      <c r="P82" s="22">
        <f>O82*(1+K_OpebTrendLong)*(1+K_RetGrowth)</f>
        <v/>
      </c>
      <c r="Q82" s="22">
        <f>P82*(1+K_OpebTrendLong)*(1+K_RetGrowth)</f>
        <v/>
      </c>
    </row>
    <row r="83">
      <c r="A83" t="inlineStr">
        <is>
          <t>Retiree health: total liability, end of year</t>
        </is>
      </c>
      <c r="D83" s="22">
        <f>K_OpebTol27</f>
        <v/>
      </c>
      <c r="E83" s="22">
        <f>D83*(1+K_OpebRate)+E81-E82</f>
        <v/>
      </c>
      <c r="F83" s="22">
        <f>E83*(1+K_OpebRate)+F81-F82</f>
        <v/>
      </c>
      <c r="G83" s="22">
        <f>F83*(1+K_OpebRate)+G81-G82</f>
        <v/>
      </c>
      <c r="H83" s="22">
        <f>G83*(1+K_OpebRate)+H81-H82</f>
        <v/>
      </c>
      <c r="I83" s="22">
        <f>H83*(1+K_OpebRate)+I81-I82</f>
        <v/>
      </c>
      <c r="J83" s="22">
        <f>I83*(1+K_OpebRate)+J81-J82</f>
        <v/>
      </c>
      <c r="K83" s="22">
        <f>J83*(1+K_OpebRate)+K81-K82</f>
        <v/>
      </c>
      <c r="L83" s="22">
        <f>K83*(1+K_OpebRate)+L81-L82</f>
        <v/>
      </c>
      <c r="M83" s="22">
        <f>L83*(1+K_OpebRate)+M81-M82</f>
        <v/>
      </c>
      <c r="N83" s="22">
        <f>M83*(1+K_OpebRate)+N81-N82</f>
        <v/>
      </c>
      <c r="O83" s="22">
        <f>N83*(1+K_OpebRate)+O81-O82</f>
        <v/>
      </c>
      <c r="P83" s="22">
        <f>O83*(1+K_OpebRate)+P81-P82</f>
        <v/>
      </c>
      <c r="Q83" s="22">
        <f>P83*(1+K_OpebRate)+Q81-Q82</f>
        <v/>
      </c>
    </row>
    <row r="84">
      <c r="A84" t="inlineStr">
        <is>
          <t>Retiree health: trust, end of year</t>
        </is>
      </c>
      <c r="D84" s="22">
        <f>K_OpebA27</f>
        <v/>
      </c>
      <c r="E84" s="22">
        <f>MIN(D84*(1+K_OpebRate)+E86,E83)</f>
        <v/>
      </c>
      <c r="F84" s="22">
        <f>MIN(E84*(1+K_OpebRate)+F86,F83)</f>
        <v/>
      </c>
      <c r="G84" s="22">
        <f>MIN(F84*(1+K_OpebRate)+G86,G83)</f>
        <v/>
      </c>
      <c r="H84" s="22">
        <f>MIN(G84*(1+K_OpebRate)+H86,H83)</f>
        <v/>
      </c>
      <c r="I84" s="22">
        <f>MIN(H84*(1+K_OpebRate)+I86,I83)</f>
        <v/>
      </c>
      <c r="J84" s="22">
        <f>MIN(I84*(1+K_OpebRate)+J86,J83)</f>
        <v/>
      </c>
      <c r="K84" s="22">
        <f>MIN(J84*(1+K_OpebRate)+K86,K83)</f>
        <v/>
      </c>
      <c r="L84" s="22">
        <f>MIN(K84*(1+K_OpebRate)+L86,L83)</f>
        <v/>
      </c>
      <c r="M84" s="22">
        <f>MIN(L84*(1+K_OpebRate)+M86,M83)</f>
        <v/>
      </c>
      <c r="N84" s="22">
        <f>MIN(M84*(1+K_OpebRate)+N86,N83)</f>
        <v/>
      </c>
      <c r="O84" s="22">
        <f>MIN(N84*(1+K_OpebRate)+O86,O83)</f>
        <v/>
      </c>
      <c r="P84" s="22">
        <f>MIN(O84*(1+K_OpebRate)+P86,P83)</f>
        <v/>
      </c>
      <c r="Q84" s="22">
        <f>MIN(P84*(1+K_OpebRate)+Q86,Q83)</f>
        <v/>
      </c>
    </row>
    <row r="85">
      <c r="A85" t="inlineStr">
        <is>
          <t>Retiree health: planned deposit</t>
        </is>
      </c>
      <c r="D85" s="22">
        <f>A_OPEB</f>
        <v/>
      </c>
      <c r="E85" s="22">
        <f>Data!E27</f>
        <v/>
      </c>
      <c r="F85" s="22">
        <f>Data!F27</f>
        <v/>
      </c>
      <c r="G85" s="22">
        <f>Data!G27+IF(AND(AND(PensionSlip&gt;0,G$4&gt;=2030,G$4&lt;=2030+PensionSlip),Redirect=1),G69-G21,0)</f>
        <v/>
      </c>
      <c r="H85" s="22">
        <f>IF(Redirect=1,Data!$H$27,Data!$G$27+K_OPEBStep*(H$4-2030))+IF(AND(AND(PensionSlip&gt;0,H$4&gt;=2030,H$4&lt;=2030+PensionSlip),Redirect=1),H69-H21,0)</f>
        <v/>
      </c>
      <c r="I85" s="22">
        <f>IF(Redirect=1,Data!$H$27,Data!$G$27+K_OPEBStep*(I$4-2030))+IF(AND(AND(PensionSlip&gt;0,I$4&gt;=2030,I$4&lt;=2030+PensionSlip),Redirect=1),I69-I21,0)</f>
        <v/>
      </c>
      <c r="J85" s="22">
        <f>IF(Redirect=1,Data!$H$27,Data!$G$27+K_OPEBStep*(J$4-2030))+IF(AND(AND(PensionSlip&gt;0,J$4&gt;=2030,J$4&lt;=2030+PensionSlip),Redirect=1),J69-J21,0)</f>
        <v/>
      </c>
      <c r="K85" s="22">
        <f>IF(Redirect=1,Data!$H$27,Data!$G$27+K_OPEBStep*(K$4-2030))+IF(AND(AND(PensionSlip&gt;0,K$4&gt;=2030,K$4&lt;=2030+PensionSlip),Redirect=1),K69-K21,0)</f>
        <v/>
      </c>
      <c r="L85" s="22">
        <f>IF(Redirect=1,Data!$H$27,Data!$G$27+K_OPEBStep*(L$4-2030))+IF(AND(AND(PensionSlip&gt;0,L$4&gt;=2030,L$4&lt;=2030+PensionSlip),Redirect=1),L69-L21,0)</f>
        <v/>
      </c>
      <c r="M85" s="22">
        <f>IF(Redirect=1,Data!$H$27,Data!$G$27+K_OPEBStep*(M$4-2030))+IF(AND(AND(PensionSlip&gt;0,M$4&gt;=2030,M$4&lt;=2030+PensionSlip),Redirect=1),M69-M21,0)</f>
        <v/>
      </c>
      <c r="N85" s="22">
        <f>IF(Redirect=1,Data!$H$27,Data!$G$27+K_OPEBStep*(N$4-2030))+IF(AND(AND(PensionSlip&gt;0,N$4&gt;=2030,N$4&lt;=2030+PensionSlip),Redirect=1),N69-N21,0)</f>
        <v/>
      </c>
      <c r="O85" s="22">
        <f>IF(Redirect=1,Data!$H$27,Data!$G$27+K_OPEBStep*(O$4-2030))+IF(AND(AND(PensionSlip&gt;0,O$4&gt;=2030,O$4&lt;=2030+PensionSlip),Redirect=1),O69-O21,0)</f>
        <v/>
      </c>
      <c r="P85" s="22">
        <f>IF(Redirect=1,Data!$H$27,Data!$G$27+K_OPEBStep*(P$4-2030))+IF(AND(AND(PensionSlip&gt;0,P$4&gt;=2030,P$4&lt;=2030+PensionSlip),Redirect=1),P69-P21,0)</f>
        <v/>
      </c>
      <c r="Q85" s="22">
        <f>IF(Redirect=1,Data!$H$27,Data!$G$27+K_OPEBStep*(Q$4-2030))+IF(AND(AND(PensionSlip&gt;0,Q$4&gt;=2030,Q$4&lt;=2030+PensionSlip),Redirect=1),Q69-Q21,0)</f>
        <v/>
      </c>
    </row>
    <row r="86">
      <c r="A86" t="inlineStr">
        <is>
          <t>Retiree health: deposit, stopping at the payoff</t>
        </is>
      </c>
      <c r="D86" s="22">
        <f>A_OPEB</f>
        <v/>
      </c>
      <c r="E86" s="22">
        <f>MIN(E85,MAX(E83-D84*(1+K_OpebRate),0))</f>
        <v/>
      </c>
      <c r="F86" s="22">
        <f>MIN(F85,MAX(F83-E84*(1+K_OpebRate),0))</f>
        <v/>
      </c>
      <c r="G86" s="22">
        <f>MIN(G85,MAX(G83-F84*(1+K_OpebRate),0))</f>
        <v/>
      </c>
      <c r="H86" s="22">
        <f>MIN(H85,MAX(H83-G84*(1+K_OpebRate),0))</f>
        <v/>
      </c>
      <c r="I86" s="22">
        <f>MIN(I85,MAX(I83-H84*(1+K_OpebRate),0))</f>
        <v/>
      </c>
      <c r="J86" s="22">
        <f>MIN(J85,MAX(J83-I84*(1+K_OpebRate),0))</f>
        <v/>
      </c>
      <c r="K86" s="22">
        <f>MIN(K85,MAX(K83-J84*(1+K_OpebRate),0))</f>
        <v/>
      </c>
      <c r="L86" s="22">
        <f>MIN(L85,MAX(L83-K84*(1+K_OpebRate),0))</f>
        <v/>
      </c>
      <c r="M86" s="22">
        <f>MIN(M85,MAX(M83-L84*(1+K_OpebRate),0))</f>
        <v/>
      </c>
      <c r="N86" s="22">
        <f>MIN(N85,MAX(N83-M84*(1+K_OpebRate),0))</f>
        <v/>
      </c>
      <c r="O86" s="22">
        <f>MIN(O85,MAX(O83-N84*(1+K_OpebRate),0))</f>
        <v/>
      </c>
      <c r="P86" s="22">
        <f>MIN(P85,MAX(P83-O84*(1+K_OpebRate),0))</f>
        <v/>
      </c>
      <c r="Q86" s="22">
        <f>MIN(Q85,MAX(Q83-P84*(1+K_OpebRate),0))</f>
        <v/>
      </c>
    </row>
    <row r="87"/>
    <row r="88">
      <c r="A88" s="2" t="inlineStr">
        <is>
          <t>Fixed values worked out once</t>
        </is>
      </c>
    </row>
    <row r="89">
      <c r="A89" t="inlineStr">
        <is>
          <t>FY2027 enrollment</t>
        </is>
      </c>
      <c r="C89" s="37">
        <f>$D$61</f>
        <v/>
      </c>
    </row>
    <row r="90">
      <c r="A90" t="inlineStr">
        <is>
          <t>FY2027 school staff</t>
        </is>
      </c>
      <c r="C90" s="37">
        <f>K_Staff26+A_FTEchg</f>
        <v/>
      </c>
    </row>
    <row r="91">
      <c r="A91" t="inlineStr">
        <is>
          <t>FY2027 students per staff</t>
        </is>
      </c>
      <c r="C91" s="40">
        <f>Enroll27/Staff27</f>
        <v/>
      </c>
    </row>
    <row r="92">
      <c r="A92" t="inlineStr">
        <is>
          <t>Students per staff a third back to FY2019</t>
        </is>
      </c>
      <c r="C92" s="40">
        <f>Ratio27+(K_Ratio2019-Ratio27)/3</f>
        <v/>
      </c>
    </row>
    <row r="93">
      <c r="A93" t="inlineStr">
        <is>
          <t>FY2027 Town and school staff</t>
        </is>
      </c>
      <c r="C93" s="37">
        <f>K_TownFTE+Staff27</f>
        <v/>
      </c>
    </row>
    <row r="94">
      <c r="A94" t="inlineStr">
        <is>
          <t>Pay growth, FY2025 to FY2027</t>
        </is>
      </c>
      <c r="C94" s="40">
        <f>(1+PayTown)^(2027-2025)</f>
        <v/>
      </c>
    </row>
    <row r="95">
      <c r="A95" t="inlineStr">
        <is>
          <t>Public Safety pay growth, FY2025 to FY2027</t>
        </is>
      </c>
      <c r="C95" s="40">
        <f>(1+PayTown+PSPrem)^(2027-2025)</f>
        <v/>
      </c>
    </row>
    <row r="96">
      <c r="A96" t="inlineStr">
        <is>
          <t>Pension normal cost, FY2030 (FY2031's, one year back)</t>
        </is>
      </c>
      <c r="C96" s="17">
        <f>Data!$H$26/(1+PayTown+K_PenNCPrem)</f>
        <v/>
      </c>
    </row>
    <row r="97">
      <c r="A97" t="inlineStr">
        <is>
          <t>Pension slip: each installment of FY2030's catch-up</t>
        </is>
      </c>
      <c r="C97" s="17">
        <f>IF(PensionSlip&gt;0,(Data!$G$26-PenNC30)/((1-(1+K_PenRate)^(-(PensionSlip+1)))/(1-1/(1+K_PenRate))),0)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"&amp;TEXT(Forecast!J66,"0.000")&amp;"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"&amp;TEXT(Forecast!J71,"0.000")&amp;"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AVERAGE(Data!$C$37/History!$L$24,18280805/History!$L$25)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Data!$H$33</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K_FillSeat</t>
        </is>
      </c>
      <c r="B120" s="3" t="inlineStr">
        <is>
          <t>Cost of a student filling an open seat, FY2027</t>
        </is>
      </c>
      <c r="C120" s="49" t="n">
        <v>7758</v>
      </c>
      <c r="D120" s="3" t="inlineStr">
        <is>
          <t>An open seat plus special education at the district average; used when students fill open seats.</t>
        </is>
      </c>
      <c r="E120" s="3" t="inlineStr">
        <is>
          <t>special_education_cost_per_student.py (DESE FY2025)</t>
        </is>
      </c>
    </row>
    <row r="121">
      <c r="A121" s="20" t="inlineStr">
        <is>
          <t>K_SPH</t>
        </is>
      </c>
      <c r="B121" s="3" t="inlineStr">
        <is>
          <t>School-age children per added home</t>
        </is>
      </c>
      <c r="C121" s="61" t="n">
        <v>0.2442</v>
      </c>
      <c r="D121" s="3" t="inlineStr">
        <is>
          <t>RKG's per-bedroom rates applied to the mix of homes being built. The forecast adds apartments and condominiums, not age-restricted homes. Across Massachusetts, added homes have brought fewer public school students than this.</t>
        </is>
      </c>
      <c r="E121" s="3" t="inlineStr">
        <is>
          <t>RKG fiscal impact study</t>
        </is>
      </c>
    </row>
    <row r="123">
      <c r="A123" s="2" t="inlineStr">
        <is>
          <t>FY2027 budget as adopted</t>
        </is>
      </c>
    </row>
    <row r="124">
      <c r="A124" s="20" t="inlineStr">
        <is>
          <t>A_TD</t>
        </is>
      </c>
      <c r="B124" s="3" t="inlineStr">
        <is>
          <t>Town departments</t>
        </is>
      </c>
      <c r="C124" s="49" t="n">
        <v>103486124</v>
      </c>
      <c r="D124" s="3" t="inlineStr"/>
      <c r="E124" s="3" t="inlineStr">
        <is>
          <t>Annual Town Meeting, May 2026, Table 1</t>
        </is>
      </c>
    </row>
    <row r="125">
      <c r="A125" s="20" t="inlineStr">
        <is>
          <t>A_Sch</t>
        </is>
      </c>
      <c r="B125" s="3" t="inlineStr">
        <is>
          <t>Schools</t>
        </is>
      </c>
      <c r="C125" s="49" t="n">
        <v>149801900</v>
      </c>
      <c r="D125" s="3" t="inlineStr"/>
      <c r="E125" s="3" t="inlineStr">
        <is>
          <t>Same</t>
        </is>
      </c>
    </row>
    <row r="126">
      <c r="A126" s="20" t="inlineStr">
        <is>
          <t>A_GH</t>
        </is>
      </c>
      <c r="B126" s="3" t="inlineStr">
        <is>
          <t>Health insurance</t>
        </is>
      </c>
      <c r="C126" s="49" t="n">
        <v>46364204</v>
      </c>
      <c r="D126" s="3" t="inlineStr"/>
      <c r="E126" s="3" t="inlineStr">
        <is>
          <t>Same</t>
        </is>
      </c>
    </row>
    <row r="127">
      <c r="A127" s="20" t="inlineStr">
        <is>
          <t>A_Pen</t>
        </is>
      </c>
      <c r="B127" s="3" t="inlineStr">
        <is>
          <t>Pensions</t>
        </is>
      </c>
      <c r="C127" s="49" t="n">
        <v>41167421</v>
      </c>
      <c r="D127" s="3" t="inlineStr"/>
      <c r="E127" s="3" t="inlineStr">
        <is>
          <t>Same</t>
        </is>
      </c>
    </row>
    <row r="128">
      <c r="A128" s="20" t="inlineStr">
        <is>
          <t>A_OPEB</t>
        </is>
      </c>
      <c r="B128" s="3" t="inlineStr">
        <is>
          <t>Retiree health (OPEB)</t>
        </is>
      </c>
      <c r="C128" s="49" t="n">
        <v>4931980</v>
      </c>
      <c r="D128" s="3" t="inlineStr"/>
      <c r="E128" s="3" t="inlineStr">
        <is>
          <t>Same</t>
        </is>
      </c>
    </row>
    <row r="129">
      <c r="A129" s="20" t="inlineStr">
        <is>
          <t>A_OB</t>
        </is>
      </c>
      <c r="B129" s="3" t="inlineStr">
        <is>
          <t>Other benefits</t>
        </is>
      </c>
      <c r="C129" s="17">
        <f>99123428-A_Pen-A_GH-A_OPEB</f>
        <v/>
      </c>
      <c r="D129" s="3" t="inlineStr">
        <is>
          <t>All employee benefits less the three above.</t>
        </is>
      </c>
      <c r="E129" s="3" t="inlineStr">
        <is>
          <t>Same</t>
        </is>
      </c>
    </row>
    <row r="130">
      <c r="A130" s="20" t="inlineStr">
        <is>
          <t>A_Debt</t>
        </is>
      </c>
      <c r="B130" s="3" t="inlineStr">
        <is>
          <t>Debt within the levy</t>
        </is>
      </c>
      <c r="C130" s="17">
        <f>49425313-35379833</f>
        <v/>
      </c>
      <c r="D130" s="3" t="inlineStr">
        <is>
          <t>All debt service less excluded debt.</t>
        </is>
      </c>
      <c r="E130" s="3" t="inlineStr">
        <is>
          <t>Same</t>
        </is>
      </c>
    </row>
    <row r="131">
      <c r="A131" s="20" t="inlineStr">
        <is>
          <t>A_Other</t>
        </is>
      </c>
      <c r="B131" s="3" t="inlineStr">
        <is>
          <t>Capital, reserves and other</t>
        </is>
      </c>
      <c r="C131" s="17">
        <f>15614820+22409889+10792034+15000</f>
        <v/>
      </c>
      <c r="D131" s="3" t="inlineStr">
        <is>
          <t>General non-departmental, revenue-financed capital, non-appropriated and vocational education.</t>
        </is>
      </c>
      <c r="E131" s="3" t="inlineStr">
        <is>
          <t>Same</t>
        </is>
      </c>
    </row>
    <row r="132">
      <c r="A132" s="20" t="inlineStr">
        <is>
          <t>A_OtherFunds</t>
        </is>
      </c>
      <c r="B132" s="3" t="inlineStr">
        <is>
          <t>Other available funds</t>
        </is>
      </c>
      <c r="C132" s="49" t="n">
        <v>8755561</v>
      </c>
      <c r="D132" s="3" t="inlineStr"/>
      <c r="E132" s="3" t="inlineStr">
        <is>
          <t>Same</t>
        </is>
      </c>
    </row>
    <row r="133">
      <c r="A133" s="20" t="inlineStr">
        <is>
          <t>A_FTEchg</t>
        </is>
      </c>
      <c r="B133" s="3" t="inlineStr">
        <is>
          <t>Change in school staff from FY2026</t>
        </is>
      </c>
      <c r="C133" s="56" t="n">
        <v>-22.1</v>
      </c>
      <c r="D133" s="3" t="inlineStr"/>
      <c r="E133" s="3" t="inlineStr">
        <is>
          <t>Same</t>
        </is>
      </c>
    </row>
    <row r="135">
      <c r="A135" s="2" t="inlineStr">
        <is>
          <t>Chestnut Hill revenue once built, by estimate</t>
        </is>
      </c>
    </row>
    <row r="136">
      <c r="A136" s="5" t="inlineStr">
        <is>
          <t>Estimate</t>
        </is>
      </c>
      <c r="B136" s="5" t="inlineStr">
        <is>
          <t>Residential share of the property tax</t>
        </is>
      </c>
      <c r="C136" s="5" t="inlineStr">
        <is>
          <t>Property tax a year, FY2025 dollars</t>
        </is>
      </c>
      <c r="D136" s="5" t="inlineStr">
        <is>
          <t>Rooms tax and motor vehicle excise a year, FY2025 dollars</t>
        </is>
      </c>
      <c r="E136" s="5" t="inlineStr">
        <is>
          <t>How it is worked out</t>
        </is>
      </c>
    </row>
    <row r="137">
      <c r="A137" s="20" t="inlineStr">
        <is>
          <t>approved</t>
        </is>
      </c>
      <c r="B137" s="11">
        <f>ROUND(266*1841088/265,0)/(ROUND(266*1841088/265,0)+2696433)</f>
        <v/>
      </c>
      <c r="C137" s="17">
        <f>ROUND(266*1841088/265,0)+2696433</f>
        <v/>
      </c>
      <c r="D137" s="17">
        <f>762120+ROUND(266*99375/265,0)</f>
        <v/>
      </c>
      <c r="E137" s="3" t="inlineStr">
        <is>
          <t>RKG's residential tax per home for 266 homes, plus City Realty scenario 1's commercial tax (the one with the approved 200 rooms); rooms tax for 200 rooms plus RKG's excise per home.</t>
        </is>
      </c>
    </row>
    <row r="138">
      <c r="A138" s="20" t="inlineStr">
        <is>
          <t>cr_avg</t>
        </is>
      </c>
      <c r="B138" s="11">
        <f>3030198/5408241</f>
        <v/>
      </c>
      <c r="C138" s="49" t="n">
        <v>5408241</v>
      </c>
      <c r="D138" s="49" t="n">
        <v>917905</v>
      </c>
      <c r="E138" s="3" t="inlineStr">
        <is>
          <t>Average of City Realty's three scenarios.</t>
        </is>
      </c>
    </row>
    <row r="139">
      <c r="A139" s="20" t="inlineStr">
        <is>
          <t>rkg</t>
        </is>
      </c>
      <c r="B139" s="11">
        <f>1841088/3158174</f>
        <v/>
      </c>
      <c r="C139" s="49" t="n">
        <v>3158174</v>
      </c>
      <c r="D139" s="49" t="n">
        <v>480435</v>
      </c>
      <c r="E139" s="3" t="inlineStr">
        <is>
          <t>RKG's scenario.</t>
        </is>
      </c>
    </row>
    <row r="140">
      <c r="A140" s="20" t="inlineStr">
        <is>
          <t>in_trend</t>
        </is>
      </c>
      <c r="B140" s="46" t="n">
        <v>0</v>
      </c>
      <c r="C140" s="49" t="n">
        <v>0</v>
      </c>
      <c r="D140" s="49" t="n">
        <v>0</v>
      </c>
      <c r="E140" s="3" t="inlineStr">
        <is>
          <t>Counted inside the recent trend, so nothing added.</t>
        </is>
      </c>
    </row>
    <row r="141">
      <c r="A141" s="27" t="inlineStr">
        <is>
          <t>Used in this run (from the Chestnut Hill setting)</t>
        </is>
      </c>
      <c r="B141" s="11">
        <f>INDEX($B$137:$B$140,MATCH(ChcaEstimate,$A$137:$A$140,0))</f>
        <v/>
      </c>
      <c r="C141" s="17">
        <f>INDEX($C$137:$C$140,MATCH(ChcaEstimate,$A$137:$A$140,0))</f>
        <v/>
      </c>
      <c r="D141" s="17">
        <f>INDEX($D$137:$D$140,MATCH(ChcaEstimate,$A$137:$A$140,0))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6833</v>
      </c>
      <c r="E10" s="33" t="n">
        <v>6661.5193386478</v>
      </c>
      <c r="F10" s="33" t="n">
        <v>6501.1344847948</v>
      </c>
      <c r="G10" s="33" t="n">
        <v>6402.2809270741</v>
      </c>
      <c r="H10" s="33" t="n">
        <v>6262.0702686743</v>
      </c>
      <c r="I10" s="33" t="n">
        <v>6160.1905816357</v>
      </c>
      <c r="J10" s="33" t="n">
        <v>6032.0844405078</v>
      </c>
      <c r="K10" s="33" t="n">
        <v>5892.8824918807</v>
      </c>
      <c r="L10" s="33" t="n">
        <v>5772.8891924514</v>
      </c>
      <c r="M10" s="33" t="n">
        <v>5646.0387622577</v>
      </c>
      <c r="N10" s="33" t="n">
        <v>5550.9517787996</v>
      </c>
      <c r="O10" s="33" t="n">
        <v>5435.6632000977</v>
      </c>
      <c r="P10" s="33" t="n">
        <v>5401.7996762446</v>
      </c>
      <c r="Q10" s="33" t="n">
        <v>5366.2038202399</v>
      </c>
    </row>
    <row r="11">
      <c r="A11" t="inlineStr">
        <is>
          <t>Enrollment, NESDEC path: students with 0 years of families moving in</t>
        </is>
      </c>
      <c r="B11" s="20" t="inlineStr">
        <is>
          <t>expense_driver_forecast.py</t>
        </is>
      </c>
      <c r="C11" s="33" t="n">
        <v>6949</v>
      </c>
      <c r="D11" s="33" t="n">
        <v>6833</v>
      </c>
      <c r="E11" s="33" t="n">
        <v>260.2471213463</v>
      </c>
      <c r="F11" s="33" t="n">
        <v>260.2471213463</v>
      </c>
      <c r="G11" s="33" t="n">
        <v>261.255831119</v>
      </c>
      <c r="H11" s="33" t="n">
        <v>261.255831119</v>
      </c>
      <c r="I11" s="33" t="n">
        <v>262.2645408916</v>
      </c>
      <c r="J11" s="33" t="n">
        <v>262.2645408916</v>
      </c>
      <c r="K11" s="33" t="n">
        <v>262.2645408916</v>
      </c>
      <c r="L11" s="33" t="n">
        <v>262.2645408916</v>
      </c>
      <c r="M11" s="33" t="n">
        <v>262.2645408916</v>
      </c>
      <c r="N11" s="33" t="n">
        <v>262.2645408916</v>
      </c>
      <c r="O11" s="33" t="n">
        <v>262.2645408916</v>
      </c>
      <c r="P11" s="33" t="n">
        <v>262.2645408916</v>
      </c>
      <c r="Q11" s="33" t="n">
        <v>262.2645408916</v>
      </c>
    </row>
    <row r="12">
      <c r="A12" t="inlineStr">
        <is>
          <t>Enrollment, NESDEC path: students with 1 year of families moving in</t>
        </is>
      </c>
      <c r="B12" s="20" t="inlineStr">
        <is>
          <t>expense_driver_forecast.py</t>
        </is>
      </c>
      <c r="C12" s="33" t="n">
        <v>0</v>
      </c>
      <c r="D12" s="33" t="n">
        <v>0</v>
      </c>
      <c r="E12" s="33" t="n">
        <v>6401.2722173014</v>
      </c>
      <c r="F12" s="33" t="n">
        <v>0</v>
      </c>
      <c r="G12" s="33" t="n">
        <v>0</v>
      </c>
      <c r="H12" s="33" t="n">
        <v>0</v>
      </c>
      <c r="I12" s="33" t="n">
        <v>0</v>
      </c>
      <c r="J12" s="33" t="n">
        <v>0</v>
      </c>
      <c r="K12" s="33" t="n">
        <v>0</v>
      </c>
      <c r="L12" s="33" t="n">
        <v>0</v>
      </c>
      <c r="M12" s="33" t="n">
        <v>0</v>
      </c>
      <c r="N12" s="33" t="n">
        <v>0</v>
      </c>
      <c r="O12" s="33" t="n">
        <v>0</v>
      </c>
      <c r="P12" s="33" t="n">
        <v>0</v>
      </c>
      <c r="Q12" s="33" t="n">
        <v>0</v>
      </c>
    </row>
    <row r="13">
      <c r="A13" t="inlineStr">
        <is>
          <t>Enrollment, NESDEC path: students with 2 years of families moving in</t>
        </is>
      </c>
      <c r="B13" s="20" t="inlineStr">
        <is>
          <t>expense_driver_forecast.py</t>
        </is>
      </c>
      <c r="C13" s="33" t="n">
        <v>0</v>
      </c>
      <c r="D13" s="33" t="n">
        <v>0</v>
      </c>
      <c r="E13" s="33" t="n">
        <v>0</v>
      </c>
      <c r="F13" s="33" t="n">
        <v>6240.8873634485</v>
      </c>
      <c r="G13" s="33" t="n">
        <v>0</v>
      </c>
      <c r="H13" s="33" t="n">
        <v>0</v>
      </c>
      <c r="I13" s="33" t="n">
        <v>0</v>
      </c>
      <c r="J13" s="33" t="n">
        <v>0</v>
      </c>
      <c r="K13" s="33" t="n">
        <v>0</v>
      </c>
      <c r="L13" s="33" t="n">
        <v>0</v>
      </c>
      <c r="M13" s="33" t="n">
        <v>0</v>
      </c>
      <c r="N13" s="33" t="n">
        <v>0</v>
      </c>
      <c r="O13" s="33" t="n">
        <v>0</v>
      </c>
      <c r="P13" s="33" t="n">
        <v>0</v>
      </c>
      <c r="Q13" s="33" t="n">
        <v>0</v>
      </c>
    </row>
    <row r="14">
      <c r="A14" t="inlineStr">
        <is>
          <t>Enrollment, NESDEC path: students with 3 years of families moving in</t>
        </is>
      </c>
      <c r="B14" s="20" t="inlineStr">
        <is>
          <t>expense_driver_forecast.py</t>
        </is>
      </c>
      <c r="C14" s="33" t="n">
        <v>0</v>
      </c>
      <c r="D14" s="33" t="n">
        <v>0</v>
      </c>
      <c r="E14" s="33" t="n">
        <v>0</v>
      </c>
      <c r="F14" s="33" t="n">
        <v>0</v>
      </c>
      <c r="G14" s="33" t="n">
        <v>6141.0250959551</v>
      </c>
      <c r="H14" s="33" t="n">
        <v>0</v>
      </c>
      <c r="I14" s="33" t="n">
        <v>0</v>
      </c>
      <c r="J14" s="33" t="n">
        <v>0</v>
      </c>
      <c r="K14" s="33" t="n">
        <v>0</v>
      </c>
      <c r="L14" s="33" t="n">
        <v>0</v>
      </c>
      <c r="M14" s="33" t="n">
        <v>0</v>
      </c>
      <c r="N14" s="33" t="n">
        <v>0</v>
      </c>
      <c r="O14" s="33" t="n">
        <v>0</v>
      </c>
      <c r="P14" s="33" t="n">
        <v>0</v>
      </c>
      <c r="Q14" s="33" t="n">
        <v>0</v>
      </c>
    </row>
    <row r="15">
      <c r="A15" t="inlineStr">
        <is>
          <t>Enrollment, NESDEC path: students with 4 years of families moving in</t>
        </is>
      </c>
      <c r="B15" s="20" t="inlineStr">
        <is>
          <t>expense_driver_forecast.py</t>
        </is>
      </c>
      <c r="C15" s="33" t="n">
        <v>0</v>
      </c>
      <c r="D15" s="33" t="n">
        <v>0</v>
      </c>
      <c r="E15" s="33" t="n">
        <v>0</v>
      </c>
      <c r="F15" s="33" t="n">
        <v>0</v>
      </c>
      <c r="G15" s="33" t="n">
        <v>0</v>
      </c>
      <c r="H15" s="33" t="n">
        <v>6000.8144375554</v>
      </c>
      <c r="I15" s="33" t="n">
        <v>0</v>
      </c>
      <c r="J15" s="33" t="n">
        <v>0</v>
      </c>
      <c r="K15" s="33" t="n">
        <v>0</v>
      </c>
      <c r="L15" s="33" t="n">
        <v>0</v>
      </c>
      <c r="M15" s="33" t="n">
        <v>0</v>
      </c>
      <c r="N15" s="33" t="n">
        <v>0</v>
      </c>
      <c r="O15" s="33" t="n">
        <v>0</v>
      </c>
      <c r="P15" s="33" t="n">
        <v>0</v>
      </c>
      <c r="Q15" s="33" t="n">
        <v>0</v>
      </c>
    </row>
    <row r="16">
      <c r="A16" t="inlineStr">
        <is>
          <t>Enrollment, NESDEC path: students with 5 years of families moving in</t>
        </is>
      </c>
      <c r="B16" s="20" t="inlineStr">
        <is>
          <t>expense_driver_forecast.py</t>
        </is>
      </c>
      <c r="C16" s="33" t="n">
        <v>0</v>
      </c>
      <c r="D16" s="33" t="n">
        <v>0</v>
      </c>
      <c r="E16" s="33" t="n">
        <v>0</v>
      </c>
      <c r="F16" s="33" t="n">
        <v>0</v>
      </c>
      <c r="G16" s="33" t="n">
        <v>0</v>
      </c>
      <c r="H16" s="33" t="n">
        <v>0</v>
      </c>
      <c r="I16" s="33" t="n">
        <v>5897.926040744</v>
      </c>
      <c r="J16" s="33" t="n">
        <v>0</v>
      </c>
      <c r="K16" s="33" t="n">
        <v>0</v>
      </c>
      <c r="L16" s="33" t="n">
        <v>0</v>
      </c>
      <c r="M16" s="33" t="n">
        <v>0</v>
      </c>
      <c r="N16" s="33" t="n">
        <v>0</v>
      </c>
      <c r="O16" s="33" t="n">
        <v>0</v>
      </c>
      <c r="P16" s="33" t="n">
        <v>0</v>
      </c>
      <c r="Q16" s="33" t="n">
        <v>0</v>
      </c>
    </row>
    <row r="17">
      <c r="A17" t="inlineStr">
        <is>
          <t>Enrollment, NESDEC path: students with 6 years of families moving in</t>
        </is>
      </c>
      <c r="B17" s="20" t="inlineStr">
        <is>
          <t>expense_driver_forecast.py</t>
        </is>
      </c>
      <c r="C17" s="33" t="n">
        <v>0</v>
      </c>
      <c r="D17" s="33" t="n">
        <v>0</v>
      </c>
      <c r="E17" s="33" t="n">
        <v>0</v>
      </c>
      <c r="F17" s="33" t="n">
        <v>0</v>
      </c>
      <c r="G17" s="33" t="n">
        <v>0</v>
      </c>
      <c r="H17" s="33" t="n">
        <v>0</v>
      </c>
      <c r="I17" s="33" t="n">
        <v>0</v>
      </c>
      <c r="J17" s="33" t="n">
        <v>5769.8198996162</v>
      </c>
      <c r="K17" s="33" t="n">
        <v>382.3010038382</v>
      </c>
      <c r="L17" s="33" t="n">
        <v>382.3010038382</v>
      </c>
      <c r="M17" s="33" t="n">
        <v>382.3010038382</v>
      </c>
      <c r="N17" s="33" t="n">
        <v>382.3010038382</v>
      </c>
      <c r="O17" s="33" t="n">
        <v>382.3010038382</v>
      </c>
      <c r="P17" s="33" t="n">
        <v>382.3010038382</v>
      </c>
      <c r="Q17" s="33" t="n">
        <v>382.3010038382</v>
      </c>
    </row>
    <row r="18">
      <c r="A18" t="inlineStr">
        <is>
          <t>Enrollment, NESDEC path: students with 7 years of families moving in</t>
        </is>
      </c>
      <c r="B18" s="20" t="inlineStr">
        <is>
          <t>expense_driver_forecast.py</t>
        </is>
      </c>
      <c r="C18" s="33" t="n">
        <v>0</v>
      </c>
      <c r="D18" s="33" t="n">
        <v>0</v>
      </c>
      <c r="E18" s="33" t="n">
        <v>0</v>
      </c>
      <c r="F18" s="33" t="n">
        <v>0</v>
      </c>
      <c r="G18" s="33" t="n">
        <v>0</v>
      </c>
      <c r="H18" s="33" t="n">
        <v>0</v>
      </c>
      <c r="I18" s="33" t="n">
        <v>0</v>
      </c>
      <c r="J18" s="33" t="n">
        <v>0</v>
      </c>
      <c r="K18" s="33" t="n">
        <v>5248.3169471509</v>
      </c>
      <c r="L18" s="33" t="n">
        <v>393.7838080964</v>
      </c>
      <c r="M18" s="33" t="n">
        <v>393.7838080964</v>
      </c>
      <c r="N18" s="33" t="n">
        <v>393.7838080964</v>
      </c>
      <c r="O18" s="33" t="n">
        <v>393.7838080964</v>
      </c>
      <c r="P18" s="33" t="n">
        <v>393.7838080964</v>
      </c>
      <c r="Q18" s="33" t="n">
        <v>393.7838080964</v>
      </c>
    </row>
    <row r="19">
      <c r="A19" t="inlineStr">
        <is>
          <t>Enrollment, NESDEC path: students with 8 years of families moving in</t>
        </is>
      </c>
      <c r="B19" s="20" t="inlineStr">
        <is>
          <t>expense_driver_forecast.py</t>
        </is>
      </c>
      <c r="C19" s="33" t="n">
        <v>0</v>
      </c>
      <c r="D19" s="33" t="n">
        <v>0</v>
      </c>
      <c r="E19" s="33" t="n">
        <v>0</v>
      </c>
      <c r="F19" s="33" t="n">
        <v>0</v>
      </c>
      <c r="G19" s="33" t="n">
        <v>0</v>
      </c>
      <c r="H19" s="33" t="n">
        <v>0</v>
      </c>
      <c r="I19" s="33" t="n">
        <v>0</v>
      </c>
      <c r="J19" s="33" t="n">
        <v>0</v>
      </c>
      <c r="K19" s="33" t="n">
        <v>0</v>
      </c>
      <c r="L19" s="33" t="n">
        <v>4734.5398396251</v>
      </c>
      <c r="M19" s="33" t="n">
        <v>403.2104107331</v>
      </c>
      <c r="N19" s="33" t="n">
        <v>403.2104107331</v>
      </c>
      <c r="O19" s="33" t="n">
        <v>403.2104107331</v>
      </c>
      <c r="P19" s="33" t="n">
        <v>403.2104107331</v>
      </c>
      <c r="Q19" s="33" t="n">
        <v>403.2104107331</v>
      </c>
    </row>
    <row r="20">
      <c r="A20" t="inlineStr">
        <is>
          <t>Enrollment, NESDEC path: students with 9 years of families moving in</t>
        </is>
      </c>
      <c r="B20" s="20" t="inlineStr">
        <is>
          <t>expense_driver_forecast.py</t>
        </is>
      </c>
      <c r="C20" s="33" t="n">
        <v>0</v>
      </c>
      <c r="D20" s="33" t="n">
        <v>0</v>
      </c>
      <c r="E20" s="33" t="n">
        <v>0</v>
      </c>
      <c r="F20" s="33" t="n">
        <v>0</v>
      </c>
      <c r="G20" s="33" t="n">
        <v>0</v>
      </c>
      <c r="H20" s="33" t="n">
        <v>0</v>
      </c>
      <c r="I20" s="33" t="n">
        <v>0</v>
      </c>
      <c r="J20" s="33" t="n">
        <v>0</v>
      </c>
      <c r="K20" s="33" t="n">
        <v>0</v>
      </c>
      <c r="L20" s="33" t="n">
        <v>0</v>
      </c>
      <c r="M20" s="33" t="n">
        <v>4204.4789986983</v>
      </c>
      <c r="N20" s="33" t="n">
        <v>403.2104107331</v>
      </c>
      <c r="O20" s="33" t="n">
        <v>403.2104107331</v>
      </c>
      <c r="P20" s="33" t="n">
        <v>403.2104107331</v>
      </c>
      <c r="Q20" s="33" t="n">
        <v>403.2104107331</v>
      </c>
    </row>
    <row r="21">
      <c r="A21" t="inlineStr">
        <is>
          <t>Enrollment, NESDEC path: students with 10 years of families moving in</t>
        </is>
      </c>
      <c r="B21" s="20" t="inlineStr">
        <is>
          <t>expense_driver_forecast.py</t>
        </is>
      </c>
      <c r="C21" s="33" t="n">
        <v>0</v>
      </c>
      <c r="D21" s="33" t="n">
        <v>0</v>
      </c>
      <c r="E21" s="33" t="n">
        <v>0</v>
      </c>
      <c r="F21" s="33" t="n">
        <v>0</v>
      </c>
      <c r="G21" s="33" t="n">
        <v>0</v>
      </c>
      <c r="H21" s="33" t="n">
        <v>0</v>
      </c>
      <c r="I21" s="33" t="n">
        <v>0</v>
      </c>
      <c r="J21" s="33" t="n">
        <v>0</v>
      </c>
      <c r="K21" s="33" t="n">
        <v>0</v>
      </c>
      <c r="L21" s="33" t="n">
        <v>0</v>
      </c>
      <c r="M21" s="33" t="n">
        <v>0</v>
      </c>
      <c r="N21" s="33" t="n">
        <v>3706.1816045071</v>
      </c>
      <c r="O21" s="33" t="n">
        <v>407.1520365596</v>
      </c>
      <c r="P21" s="33" t="n">
        <v>407.1520365596</v>
      </c>
      <c r="Q21" s="33" t="n">
        <v>407.1520365596</v>
      </c>
    </row>
    <row r="22">
      <c r="A22" t="inlineStr">
        <is>
          <t>Enrollment, NESDEC path: students with 11 years of families moving in</t>
        </is>
      </c>
      <c r="B22" s="20" t="inlineStr">
        <is>
          <t>expense_driver_forecast.py</t>
        </is>
      </c>
      <c r="C22" s="33" t="n">
        <v>0</v>
      </c>
      <c r="D22" s="33" t="n">
        <v>0</v>
      </c>
      <c r="E22" s="33" t="n">
        <v>0</v>
      </c>
      <c r="F22" s="33" t="n">
        <v>0</v>
      </c>
      <c r="G22" s="33" t="n">
        <v>0</v>
      </c>
      <c r="H22" s="33" t="n">
        <v>0</v>
      </c>
      <c r="I22" s="33" t="n">
        <v>0</v>
      </c>
      <c r="J22" s="33" t="n">
        <v>0</v>
      </c>
      <c r="K22" s="33" t="n">
        <v>0</v>
      </c>
      <c r="L22" s="33" t="n">
        <v>0</v>
      </c>
      <c r="M22" s="33" t="n">
        <v>0</v>
      </c>
      <c r="N22" s="33" t="n">
        <v>0</v>
      </c>
      <c r="O22" s="33" t="n">
        <v>3183.7409892456</v>
      </c>
      <c r="P22" s="33" t="n">
        <v>407.1520365596</v>
      </c>
      <c r="Q22" s="33" t="n">
        <v>407.1520365596</v>
      </c>
    </row>
    <row r="23">
      <c r="A23" t="inlineStr">
        <is>
          <t>Enrollment, NESDEC path: students with 12 years of families moving in</t>
        </is>
      </c>
      <c r="B23" s="20" t="inlineStr">
        <is>
          <t>expense_driver_forecast.py</t>
        </is>
      </c>
      <c r="C23" s="33" t="n">
        <v>0</v>
      </c>
      <c r="D23" s="33" t="n">
        <v>0</v>
      </c>
      <c r="E23" s="33" t="n">
        <v>0</v>
      </c>
      <c r="F23" s="33" t="n">
        <v>0</v>
      </c>
      <c r="G23" s="33" t="n">
        <v>0</v>
      </c>
      <c r="H23" s="33" t="n">
        <v>0</v>
      </c>
      <c r="I23" s="33" t="n">
        <v>0</v>
      </c>
      <c r="J23" s="33" t="n">
        <v>0</v>
      </c>
      <c r="K23" s="33" t="n">
        <v>0</v>
      </c>
      <c r="L23" s="33" t="n">
        <v>0</v>
      </c>
      <c r="M23" s="33" t="n">
        <v>0</v>
      </c>
      <c r="N23" s="33" t="n">
        <v>0</v>
      </c>
      <c r="O23" s="33" t="n">
        <v>0</v>
      </c>
      <c r="P23" s="33" t="n">
        <v>2742.7254288329</v>
      </c>
      <c r="Q23" s="33" t="n">
        <v>387.2273823035</v>
      </c>
    </row>
    <row r="24">
      <c r="A24" t="inlineStr">
        <is>
          <t>Enrollment, NESDEC path: students with 13 years of families moving in</t>
        </is>
      </c>
      <c r="B24" s="20" t="inlineStr">
        <is>
          <t>expense_driver_forecast.py</t>
        </is>
      </c>
      <c r="C24" s="33" t="n">
        <v>0</v>
      </c>
      <c r="D24" s="33" t="n">
        <v>0</v>
      </c>
      <c r="E24" s="33" t="n">
        <v>0</v>
      </c>
      <c r="F24" s="33" t="n">
        <v>0</v>
      </c>
      <c r="G24" s="33" t="n">
        <v>0</v>
      </c>
      <c r="H24" s="33" t="n">
        <v>0</v>
      </c>
      <c r="I24" s="33" t="n">
        <v>0</v>
      </c>
      <c r="J24" s="33" t="n">
        <v>0</v>
      </c>
      <c r="K24" s="33" t="n">
        <v>0</v>
      </c>
      <c r="L24" s="33" t="n">
        <v>0</v>
      </c>
      <c r="M24" s="33" t="n">
        <v>0</v>
      </c>
      <c r="N24" s="33" t="n">
        <v>0</v>
      </c>
      <c r="O24" s="33" t="n">
        <v>0</v>
      </c>
      <c r="P24" s="33" t="n">
        <v>0</v>
      </c>
      <c r="Q24" s="33" t="n">
        <v>2319.9021905249</v>
      </c>
    </row>
    <row r="25">
      <c r="A25" t="inlineStr">
        <is>
          <t>Enrollment, Cropper-McKibben (the schools' forecast)</t>
        </is>
      </c>
      <c r="B25" s="20" t="inlineStr">
        <is>
          <t>Cropper-McKibben 2023</t>
        </is>
      </c>
      <c r="C25" s="33" t="n">
        <v>6949</v>
      </c>
      <c r="D25" s="33" t="n">
        <v>6833</v>
      </c>
      <c r="E25" s="33" t="n">
        <v>6802.3764637849</v>
      </c>
      <c r="F25" s="33" t="n">
        <v>6848.805696111</v>
      </c>
      <c r="G25" s="33" t="n">
        <v>6964.3848489229</v>
      </c>
      <c r="H25" s="33" t="n">
        <v>7031.5590573948</v>
      </c>
      <c r="I25" s="33" t="n">
        <v>7157.0167702761</v>
      </c>
      <c r="J25" s="33" t="n">
        <v>7254.8145149631</v>
      </c>
      <c r="K25" s="33" t="n">
        <v>7353.6001156571</v>
      </c>
      <c r="L25" s="33" t="n">
        <v>7353.6001156571</v>
      </c>
      <c r="M25" s="33" t="n">
        <v>7353.6001156571</v>
      </c>
      <c r="N25" s="33" t="n">
        <v>7353.6001156571</v>
      </c>
      <c r="O25" s="33" t="n">
        <v>7353.6001156571</v>
      </c>
      <c r="P25" s="33" t="n">
        <v>7353.6001156571</v>
      </c>
      <c r="Q25" s="33" t="n">
        <v>7353.6001156571</v>
      </c>
    </row>
    <row r="26">
      <c r="A26" t="inlineStr">
        <is>
          <t>Town plan: pensions</t>
        </is>
      </c>
      <c r="B26" s="20" t="inlineStr">
        <is>
          <t>Town long-range plan, Jan 2026</t>
        </is>
      </c>
      <c r="E26" s="17" t="n">
        <v>44290129</v>
      </c>
      <c r="F26" s="17" t="n">
        <v>47766904</v>
      </c>
      <c r="G26" s="17" t="n">
        <v>44088421</v>
      </c>
      <c r="H26" s="17" t="n">
        <v>7276167</v>
      </c>
    </row>
    <row r="27">
      <c r="A27" t="inlineStr">
        <is>
          <t>Town plan: retiree health (OPEB)</t>
        </is>
      </c>
      <c r="B27" s="20" t="inlineStr">
        <is>
          <t>Town long-range plan, Jan 2026</t>
        </is>
      </c>
      <c r="E27" s="17" t="n">
        <v>5431980</v>
      </c>
      <c r="F27" s="17" t="n">
        <v>5681980</v>
      </c>
      <c r="G27" s="17" t="n">
        <v>5931980</v>
      </c>
      <c r="H27" s="17" t="n">
        <v>42994233</v>
      </c>
    </row>
    <row r="28">
      <c r="A28" t="inlineStr">
        <is>
          <t>Town plan: other benefits</t>
        </is>
      </c>
      <c r="B28" s="20" t="inlineStr">
        <is>
          <t>Town long-range plan, Jan 2026</t>
        </is>
      </c>
      <c r="E28" s="17" t="n">
        <v>7065901</v>
      </c>
      <c r="F28" s="17" t="n">
        <v>7387023</v>
      </c>
      <c r="G28" s="17" t="n">
        <v>7727010</v>
      </c>
      <c r="H28" s="17" t="n">
        <v>8087057</v>
      </c>
    </row>
    <row r="29">
      <c r="A29" t="inlineStr">
        <is>
          <t>Capital table: debt within the levy</t>
        </is>
      </c>
      <c r="B29" s="20" t="inlineStr">
        <is>
          <t>FY2027 Financial Plan p.384</t>
        </is>
      </c>
      <c r="E29" s="17" t="n">
        <v>14367683</v>
      </c>
      <c r="F29" s="17" t="n">
        <v>16096302</v>
      </c>
      <c r="G29" s="17" t="n">
        <v>16462008</v>
      </c>
      <c r="H29" s="17" t="n">
        <v>17594808</v>
      </c>
      <c r="I29" s="17" t="n">
        <v>17514813</v>
      </c>
    </row>
    <row r="30">
      <c r="A30" t="inlineStr">
        <is>
          <t>Town plan: capital, reserves and other</t>
        </is>
      </c>
      <c r="B30" s="20" t="inlineStr">
        <is>
          <t>Town long-range plan, Jan 2026</t>
        </is>
      </c>
      <c r="E30" s="17" t="n">
        <v>43656513</v>
      </c>
      <c r="F30" s="17" t="n">
        <v>44003384</v>
      </c>
      <c r="G30" s="17" t="n">
        <v>45537525</v>
      </c>
      <c r="H30" s="17" t="n">
        <v>46358295</v>
      </c>
      <c r="I30" s="17" t="n">
        <v>48111392</v>
      </c>
      <c r="J30" s="17" t="n">
        <v>49305486</v>
      </c>
      <c r="K30" s="17" t="n">
        <v>50262276</v>
      </c>
      <c r="L30" s="17" t="n">
        <v>51255972</v>
      </c>
      <c r="M30" s="17" t="n">
        <v>52208592</v>
      </c>
      <c r="N30" s="17" t="n">
        <v>53194801</v>
      </c>
      <c r="O30" s="17" t="n">
        <v>54217077</v>
      </c>
      <c r="P30" s="17" t="n">
        <v>55276759</v>
      </c>
      <c r="Q30" s="17" t="n">
        <v>56375242</v>
      </c>
    </row>
    <row r="31">
      <c r="A31" t="inlineStr">
        <is>
          <t>Town plan: capital funded from revenue</t>
        </is>
      </c>
      <c r="B31" s="20" t="inlineStr">
        <is>
          <t>Town long-range plan, Jan 2026</t>
        </is>
      </c>
      <c r="E31" s="17" t="n">
        <v>10186128</v>
      </c>
      <c r="F31" s="17" t="n">
        <v>9207977</v>
      </c>
      <c r="G31" s="17" t="n">
        <v>9623797</v>
      </c>
      <c r="H31" s="17" t="n">
        <v>9292699</v>
      </c>
      <c r="I31" s="17" t="n">
        <v>10109080</v>
      </c>
      <c r="J31" s="17" t="n">
        <v>10810240</v>
      </c>
      <c r="K31" s="17" t="n">
        <v>11233682</v>
      </c>
      <c r="L31" s="17" t="n">
        <v>11673456</v>
      </c>
      <c r="M31" s="17" t="n">
        <v>12095052</v>
      </c>
      <c r="N31" s="17" t="n">
        <v>12531514</v>
      </c>
      <c r="O31" s="17" t="n">
        <v>12983936</v>
      </c>
      <c r="P31" s="17" t="n">
        <v>13452914</v>
      </c>
      <c r="Q31" s="17" t="n">
        <v>13939064</v>
      </c>
    </row>
    <row r="32">
      <c r="A32" t="inlineStr">
        <is>
          <t>Town plan: reserve fund</t>
        </is>
      </c>
      <c r="B32" s="20" t="inlineStr">
        <is>
          <t>Town long-range plan, Jan 2026</t>
        </is>
      </c>
      <c r="E32" s="17" t="n">
        <v>3701523</v>
      </c>
      <c r="F32" s="17" t="n">
        <v>3817321</v>
      </c>
      <c r="G32" s="17" t="n">
        <v>3935559</v>
      </c>
      <c r="H32" s="17" t="n">
        <v>4056845</v>
      </c>
    </row>
    <row r="33">
      <c r="A33" t="inlineStr">
        <is>
          <t>Town plan: general non-departmental</t>
        </is>
      </c>
      <c r="B33" s="20" t="inlineStr">
        <is>
          <t>Town long-range plan, Jan 2026</t>
        </is>
      </c>
      <c r="E33" s="17" t="n">
        <v>8572176</v>
      </c>
      <c r="F33" s="17" t="n">
        <v>8646548</v>
      </c>
      <c r="G33" s="17" t="n">
        <v>8743192</v>
      </c>
      <c r="H33" s="17" t="n">
        <v>8845193</v>
      </c>
    </row>
    <row r="34">
      <c r="A34" t="inlineStr">
        <is>
          <t>Capital paid from free cash</t>
        </is>
      </c>
      <c r="B34" s="20" t="inlineStr">
        <is>
          <t>FY2027 Financial Plan p.384 to FY2032, then a share of net revenue</t>
        </is>
      </c>
      <c r="E34" s="17" t="n">
        <v>10034894</v>
      </c>
      <c r="F34" s="17" t="n">
        <v>10904662</v>
      </c>
      <c r="G34" s="17" t="n">
        <v>11536390</v>
      </c>
      <c r="H34" s="17" t="n">
        <v>12186467</v>
      </c>
      <c r="I34" s="17" t="n">
        <v>13123183</v>
      </c>
      <c r="J34" s="17" t="n">
        <v>13616116</v>
      </c>
      <c r="K34" s="17" t="n">
        <v>14149465</v>
      </c>
      <c r="L34" s="17" t="n">
        <v>14703386</v>
      </c>
      <c r="M34" s="17" t="n">
        <v>15234411</v>
      </c>
      <c r="N34" s="17" t="n">
        <v>15784159</v>
      </c>
      <c r="O34" s="17" t="n">
        <v>16354011</v>
      </c>
      <c r="P34" s="17" t="n">
        <v>16944716</v>
      </c>
      <c r="Q34" s="17" t="n">
        <v>17557049</v>
      </c>
    </row>
    <row r="35">
      <c r="A35" t="inlineStr">
        <is>
          <t>Retiree health: the actuary's premium trend</t>
        </is>
      </c>
      <c r="B35" s="20" t="inlineStr">
        <is>
          <t>FY2024 audit, OPEB note (Medicare and non-Medicare averaged)</t>
        </is>
      </c>
      <c r="E35" s="47" t="n">
        <v>0.055</v>
      </c>
      <c r="F35" s="47" t="n">
        <v>0.0525</v>
      </c>
      <c r="G35" s="47" t="n">
        <v>0.05125</v>
      </c>
      <c r="H35" s="47" t="n">
        <v>0.05</v>
      </c>
      <c r="I35" s="47" t="n">
        <v>0.04875</v>
      </c>
      <c r="J35" s="47" t="n">
        <v>0.0475</v>
      </c>
      <c r="K35" s="47" t="n">
        <v>0.04625</v>
      </c>
    </row>
    <row r="36">
      <c r="A36" t="inlineStr">
        <is>
          <t>Budgeted local receipts, adopted</t>
        </is>
      </c>
      <c r="B36" s="20" t="inlineStr">
        <is>
          <t>FY2026 budget (Town plan) and FY2027 budget as adopted</t>
        </is>
      </c>
      <c r="C36" s="17" t="n">
        <v>34886166</v>
      </c>
      <c r="D36" s="17" t="n">
        <v>37633556</v>
      </c>
    </row>
    <row r="37">
      <c r="A37" t="inlineStr">
        <is>
          <t>Town plan: free cash</t>
        </is>
      </c>
      <c r="B37" s="20" t="inlineStr">
        <is>
          <t>Town long-range plan, Jan 2026</t>
        </is>
      </c>
      <c r="C37" s="17" t="n">
        <v>21303316</v>
      </c>
      <c r="D37" s="17" t="n">
        <v>20200000</v>
      </c>
      <c r="E37" s="17" t="n">
        <v>20967559</v>
      </c>
      <c r="F37" s="17" t="n">
        <v>21849267</v>
      </c>
      <c r="G37" s="17" t="n">
        <v>22511258</v>
      </c>
      <c r="H37" s="17" t="n">
        <v>23192931</v>
      </c>
    </row>
    <row r="38">
      <c r="A38" t="inlineStr">
        <is>
          <t>Free cash, known (adopted budget, or the Town plan)</t>
        </is>
      </c>
      <c r="B38" s="20" t="inlineStr">
        <is>
          <t>FY2027 adopted; FY2026 Town plan</t>
        </is>
      </c>
      <c r="C38" s="17" t="n">
        <v>21303316</v>
      </c>
      <c r="D38" s="17" t="n">
        <v>18280805</v>
      </c>
    </row>
    <row r="40">
      <c r="A40" s="2" t="inlineStr">
        <is>
          <t>Choices for the settings</t>
        </is>
      </c>
    </row>
    <row r="41">
      <c r="A41" s="27" t="inlineStr">
        <is>
          <t>Setting</t>
        </is>
      </c>
      <c r="C41" s="27" t="inlineStr">
        <is>
          <t>Choice</t>
        </is>
      </c>
      <c r="D41" s="27" t="inlineStr">
        <is>
          <t>How the model reads it</t>
        </is>
      </c>
    </row>
    <row r="42">
      <c r="A42" t="inlineStr">
        <is>
          <t>opeb</t>
        </is>
      </c>
      <c r="C42" t="inlineStr">
        <is>
          <t>Moved to retiree health (OPEB), the Town's plan; once it's paid off, held for a decision</t>
        </is>
      </c>
      <c r="D42" t="inlineStr">
        <is>
          <t>redirect</t>
        </is>
      </c>
    </row>
    <row r="43">
      <c r="C43" t="inlineStr">
        <is>
          <t>Moved to retiree health (OPEB); once it's paid off, counted as room</t>
        </is>
      </c>
      <c r="D43" t="inlineStr">
        <is>
          <t>spend</t>
        </is>
      </c>
    </row>
    <row r="44">
      <c r="C44" t="inlineStr">
        <is>
          <t>Kept in the budget as room</t>
        </is>
      </c>
      <c r="D44" t="inlineStr">
        <is>
          <t>keep</t>
        </is>
      </c>
    </row>
    <row r="45">
      <c r="A45" t="inlineStr">
        <is>
          <t>staffing</t>
        </is>
      </c>
      <c r="C45" t="inlineStr">
        <is>
          <t>Fall half as fast as enrollment, as in FY2019 to FY2025</t>
        </is>
      </c>
      <c r="D45" t="inlineStr">
        <is>
          <t>half</t>
        </is>
      </c>
    </row>
    <row r="46">
      <c r="C46" t="inlineStr">
        <is>
          <t>Held at the FY2027 level</t>
        </is>
      </c>
      <c r="D46" t="inlineStr">
        <is>
          <t>keep</t>
        </is>
      </c>
    </row>
    <row r="47">
      <c r="C47" t="inlineStr">
        <is>
          <t>Follow enrollment, students per staff held</t>
        </is>
      </c>
      <c r="D47" t="inlineStr">
        <is>
          <t>hold</t>
        </is>
      </c>
    </row>
    <row r="48">
      <c r="C48" t="inlineStr">
        <is>
          <t>Follow enrollment, students per staff a third back to FY2019</t>
        </is>
      </c>
      <c r="D48" t="inlineStr">
        <is>
          <t>partial</t>
        </is>
      </c>
    </row>
    <row r="49">
      <c r="A49" t="inlineStr">
        <is>
          <t>mix</t>
        </is>
      </c>
      <c r="C49" t="inlineStr">
        <is>
          <t>Today's mix</t>
        </is>
      </c>
      <c r="D49" t="inlineStr">
        <is>
          <t>mix</t>
        </is>
      </c>
    </row>
    <row r="50">
      <c r="C50" t="inlineStr">
        <is>
          <t>New homes</t>
        </is>
      </c>
      <c r="D50" t="inlineStr">
        <is>
          <t>housing</t>
        </is>
      </c>
    </row>
    <row r="51">
      <c r="C51" t="inlineStr">
        <is>
          <t>New commercial space</t>
        </is>
      </c>
      <c r="D51" t="inlineStr">
        <is>
          <t>commercial</t>
        </is>
      </c>
    </row>
    <row r="52">
      <c r="C52" t="inlineStr">
        <is>
          <t>Half homes, half commercial</t>
        </is>
      </c>
      <c r="D52" t="inlineStr">
        <is>
          <t>even</t>
        </is>
      </c>
    </row>
    <row r="53">
      <c r="A53" t="inlineStr">
        <is>
          <t>homes</t>
        </is>
      </c>
      <c r="C53" t="inlineStr">
        <is>
          <t>As expected</t>
        </is>
      </c>
      <c r="D53" t="inlineStr">
        <is>
          <t>all</t>
        </is>
      </c>
    </row>
    <row r="54">
      <c r="C54" t="inlineStr">
        <is>
          <t>Half as many</t>
        </is>
      </c>
      <c r="D54" t="inlineStr">
        <is>
          <t>half</t>
        </is>
      </c>
    </row>
    <row r="55">
      <c r="C55" t="inlineStr">
        <is>
          <t>None: renovation and commercial growth only</t>
        </is>
      </c>
      <c r="D55" t="inlineStr">
        <is>
          <t>none</t>
        </is>
      </c>
    </row>
    <row r="56">
      <c r="A56" t="inlineStr">
        <is>
          <t>fill</t>
        </is>
      </c>
      <c r="C56" t="inlineStr">
        <is>
          <t>Each brings new staff at today's ratio</t>
        </is>
      </c>
      <c r="D56" t="inlineStr">
        <is>
          <t>staff</t>
        </is>
      </c>
    </row>
    <row r="57">
      <c r="C57" t="inlineStr">
        <is>
          <t>Fill seats left open as enrollment falls</t>
        </is>
      </c>
      <c r="D57" t="inlineStr">
        <is>
          <t>fill</t>
        </is>
      </c>
    </row>
    <row r="58">
      <c r="A58" t="inlineStr">
        <is>
          <t>enroll</t>
        </is>
      </c>
      <c r="C58" t="inlineStr">
        <is>
          <t>NESDEC (declines)</t>
        </is>
      </c>
      <c r="D58" t="inlineStr">
        <is>
          <t>nesdec</t>
        </is>
      </c>
    </row>
    <row r="59">
      <c r="C59" t="inlineStr">
        <is>
          <t>Flat at FY2027</t>
        </is>
      </c>
      <c r="D59" t="inlineStr">
        <is>
          <t>flat</t>
        </is>
      </c>
    </row>
    <row r="60">
      <c r="C60" t="inlineStr">
        <is>
          <t>Cropper-McKibben, the schools' forecast (rises)</t>
        </is>
      </c>
      <c r="D60" t="inlineStr">
        <is>
          <t>cm</t>
        </is>
      </c>
    </row>
    <row r="61">
      <c r="A61" t="inlineStr">
        <is>
          <t>capital</t>
        </is>
      </c>
      <c r="C61" t="inlineStr">
        <is>
          <t>The 6.6% policy, from FY2028</t>
        </is>
      </c>
      <c r="D61" t="inlineStr">
        <is>
          <t>full</t>
        </is>
      </c>
    </row>
    <row r="62">
      <c r="C62" t="inlineStr">
        <is>
          <t>Held at the Town's six-year table, about 6%</t>
        </is>
      </c>
      <c r="D62" t="inlineStr">
        <is>
          <t>table</t>
        </is>
      </c>
    </row>
    <row r="63">
      <c r="A63" t="inlineStr">
        <is>
          <t>chca</t>
        </is>
      </c>
      <c r="C63" t="inlineStr">
        <is>
          <t>Approved program, Town Meeting May 2026</t>
        </is>
      </c>
      <c r="D63" t="inlineStr">
        <is>
          <t>approved</t>
        </is>
      </c>
    </row>
    <row r="64">
      <c r="C64" t="inlineStr">
        <is>
          <t>City Realty's average estimate</t>
        </is>
      </c>
      <c r="D64" t="inlineStr">
        <is>
          <t>cr_avg</t>
        </is>
      </c>
    </row>
    <row r="65">
      <c r="C65" t="inlineStr">
        <is>
          <t>RKG's estimate</t>
        </is>
      </c>
      <c r="D65" t="inlineStr">
        <is>
          <t>rkg</t>
        </is>
      </c>
    </row>
    <row r="66">
      <c r="C66" t="inlineStr">
        <is>
          <t>Already inside trend growth</t>
        </is>
      </c>
      <c r="D66" t="inlineStr">
        <is>
          <t>in_trend</t>
        </is>
      </c>
    </row>
    <row r="67">
      <c r="A67" t="inlineStr">
        <is>
          <t>ps_staff</t>
        </is>
      </c>
      <c r="C67" t="inlineStr">
        <is>
          <t>FY2027 budget, plus a fire company at about 31,200 homes</t>
        </is>
      </c>
      <c r="D67" t="inlineStr">
        <is>
          <t>budget</t>
        </is>
      </c>
    </row>
    <row r="68">
      <c r="C68" t="inlineStr">
        <is>
          <t>FY2027 budget and the fire company, with police growing with homes</t>
        </is>
      </c>
      <c r="D68" t="inlineStr">
        <is>
          <t>police</t>
        </is>
      </c>
    </row>
    <row r="69">
      <c r="C69" t="inlineStr">
        <is>
          <t>Restored to earlier levels, police 136 and fire 168, plus the company</t>
        </is>
      </c>
      <c r="D69" t="inlineStr">
        <is>
          <t>restore</t>
        </is>
      </c>
    </row>
    <row r="70">
      <c r="C70" t="inlineStr">
        <is>
          <t>FY2027 budget, no added fire company</t>
        </is>
      </c>
      <c r="D70" t="inlineStr">
        <is>
          <t>none</t>
        </is>
      </c>
    </row>
    <row r="71">
      <c r="A71" t="inlineStr">
        <is>
          <t>ng2728</t>
        </is>
      </c>
      <c r="C71" t="inlineStr">
        <is>
          <t>The recent trend (the base case)</t>
        </is>
      </c>
      <c r="D71" t="inlineStr">
        <is>
          <t>trend</t>
        </is>
      </c>
    </row>
    <row r="72">
      <c r="C72" t="inlineStr">
        <is>
          <t>What the 2024 and 2025 permits point to</t>
        </is>
      </c>
      <c r="D72" t="inlineStr">
        <is>
          <t>permits</t>
        </is>
      </c>
    </row>
    <row r="73">
      <c r="C73" t="inlineStr">
        <is>
          <t>Permits, low end of past rates</t>
        </is>
      </c>
      <c r="D73" t="inlineStr">
        <is>
          <t>permits_low</t>
        </is>
      </c>
    </row>
    <row r="74">
      <c r="C74" t="inlineStr">
        <is>
          <t>Permits, high end of past rates</t>
        </is>
      </c>
      <c r="D74" t="inlineStr">
        <is>
          <t>permits_high</t>
        </is>
      </c>
    </row>
    <row r="75">
      <c r="A75" t="inlineStr">
        <is>
          <t>slip</t>
        </is>
      </c>
      <c r="C75" t="inlineStr">
        <is>
          <t>On schedule, FY2030</t>
        </is>
      </c>
      <c r="D75" t="n">
        <v>0</v>
      </c>
    </row>
    <row r="76">
      <c r="C76" t="inlineStr">
        <is>
          <t>One year late</t>
        </is>
      </c>
      <c r="D76" t="n">
        <v>1</v>
      </c>
    </row>
    <row r="77">
      <c r="C77" t="inlineStr">
        <is>
          <t>Two years late</t>
        </is>
      </c>
      <c r="D77" t="n">
        <v>2</v>
      </c>
    </row>
    <row r="78">
      <c r="C78" t="inlineStr">
        <is>
          <t>Three years late</t>
        </is>
      </c>
      <c r="D78"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427785092.9212101</v>
      </c>
      <c r="F6" s="17" t="n">
        <v>444453292.7886616</v>
      </c>
      <c r="G6" s="17" t="n">
        <v>459556356.8897406</v>
      </c>
      <c r="H6" s="17" t="n">
        <v>474794900.714273</v>
      </c>
      <c r="I6" s="17" t="n">
        <v>491229312.362376</v>
      </c>
      <c r="J6" s="17" t="n">
        <v>508230447.8544747</v>
      </c>
      <c r="K6" s="17" t="n">
        <v>526003799.1208189</v>
      </c>
      <c r="L6" s="17" t="n">
        <v>544544067.530622</v>
      </c>
      <c r="M6" s="17" t="n">
        <v>563679219.6624836</v>
      </c>
      <c r="N6" s="17" t="n">
        <v>584262295.5055369</v>
      </c>
      <c r="O6" s="17" t="n">
        <v>605449549.2012711</v>
      </c>
      <c r="P6" s="17" t="n">
        <v>629460359.1873735</v>
      </c>
      <c r="Q6" s="17" t="n">
        <v>654708804.3399982</v>
      </c>
    </row>
    <row r="7">
      <c r="A7" t="inlineStr">
        <is>
          <t>Explorer engine: room</t>
        </is>
      </c>
      <c r="D7" s="17" t="n">
        <v>0</v>
      </c>
      <c r="E7" s="17" t="n">
        <v>752760.7779473662</v>
      </c>
      <c r="F7" s="17" t="n">
        <v>4533487.82175988</v>
      </c>
      <c r="G7" s="17" t="n">
        <v>8777230.16718334</v>
      </c>
      <c r="H7" s="17" t="n">
        <v>8012814.819635034</v>
      </c>
      <c r="I7" s="17" t="n">
        <v>10448919.73213756</v>
      </c>
      <c r="J7" s="17" t="n">
        <v>12984815.88578314</v>
      </c>
      <c r="K7" s="17" t="n">
        <v>15662040.41579831</v>
      </c>
      <c r="L7" s="17" t="n">
        <v>16230287.33170784</v>
      </c>
      <c r="M7" s="17" t="n">
        <v>16870272.61709809</v>
      </c>
      <c r="N7" s="17" t="n">
        <v>16677354.50130224</v>
      </c>
      <c r="O7" s="17" t="n">
        <v>16619010.40445971</v>
      </c>
      <c r="P7" s="17" t="n">
        <v>14509867.89253724</v>
      </c>
      <c r="Q7" s="17" t="n">
        <v>11964653.39966083</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2026-10-28T19:48:25Z</dcterms:created>
  <dcterms:modified xmlns:dcterms="http://purl.org/dc/terms/" xmlns:xsi="http://www.w3.org/2001/XMLSchema-instance" xsi:type="dcterms:W3CDTF">2026-10-28T19:48:25Z</dcterms:modified>
</cp:coreProperties>
</file>