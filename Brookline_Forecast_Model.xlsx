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ettings" sheetId="2" state="visible" r:id="rId2"/>
    <sheet xmlns:r="http://schemas.openxmlformats.org/officeDocument/2006/relationships" name="Forecast" sheetId="3" state="visible" r:id="rId3"/>
    <sheet xmlns:r="http://schemas.openxmlformats.org/officeDocument/2006/relationships" name="Revenue build" sheetId="4" state="visible" r:id="rId4"/>
    <sheet xmlns:r="http://schemas.openxmlformats.org/officeDocument/2006/relationships" name="Worked example" sheetId="5" state="visible" r:id="rId5"/>
    <sheet xmlns:r="http://schemas.openxmlformats.org/officeDocument/2006/relationships" name="Assumptions" sheetId="6" state="visible" r:id="rId6"/>
    <sheet xmlns:r="http://schemas.openxmlformats.org/officeDocument/2006/relationships" name="History" sheetId="7" state="visible" r:id="rId7"/>
    <sheet xmlns:r="http://schemas.openxmlformats.org/officeDocument/2006/relationships" name="Data" sheetId="8" state="visible" r:id="rId8"/>
    <sheet xmlns:r="http://schemas.openxmlformats.org/officeDocument/2006/relationships" name="Checks" sheetId="9" state="visible" r:id="rId9"/>
    <sheet xmlns:r="http://schemas.openxmlformats.org/officeDocument/2006/relationships" name="Appendix History FY05-25" sheetId="10" state="visible" r:id="rId10"/>
    <sheet xmlns:r="http://schemas.openxmlformats.org/officeDocument/2006/relationships" name="Appendix Schools FY09-25" sheetId="11" state="visible" r:id="rId11"/>
    <sheet xmlns:r="http://schemas.openxmlformats.org/officeDocument/2006/relationships" name="Appendix Benefits FY23-25" sheetId="12" state="visible" r:id="rId12"/>
  </sheets>
  <definedNames>
    <definedName name="K_LevyCap">Assumptions!$C$7</definedName>
    <definedName name="K_ResTrail">Assumptions!$C$8</definedName>
    <definedName name="K_ComTrail">Assumptions!$C$9</definedName>
    <definedName name="K_TrendRate">Assumptions!$C$10</definedName>
    <definedName name="K_ResNewShare">Assumptions!$C$11</definedName>
    <definedName name="K_ComNewShare">Assumptions!$C$12</definedName>
    <definedName name="K_PP">Assumptions!$C$13</definedName>
    <definedName name="K_ResNewPct">Assumptions!$C$14</definedName>
    <definedName name="K_ResRenoPct">Assumptions!$C$15</definedName>
    <definedName name="K_ComNewPct">Assumptions!$C$16</definedName>
    <definedName name="K_ComRenoPct">Assumptions!$C$17</definedName>
    <definedName name="K_TownNG">Assumptions!$C$18</definedName>
    <definedName name="K_Perm27">Assumptions!$C$19</definedName>
    <definedName name="K_Perm27Lo">Assumptions!$C$20</definedName>
    <definedName name="K_Perm27Hi">Assumptions!$C$21</definedName>
    <definedName name="K_Perm28">Assumptions!$C$22</definedName>
    <definedName name="K_Perm28Lo">Assumptions!$C$23</definedName>
    <definedName name="K_Perm28Hi">Assumptions!$C$24</definedName>
    <definedName name="K_NG2026">Assumptions!$C$25</definedName>
    <definedName name="Levy2025">Assumptions!$C$26</definedName>
    <definedName name="K_HomesPace">Assumptions!$C$29</definedName>
    <definedName name="K_ResValUnit">Assumptions!$C$30</definedName>
    <definedName name="K_ResApp">Assumptions!$C$31</definedName>
    <definedName name="K_ComValSqft">Assumptions!$C$32</definedName>
    <definedName name="K_ComApp">Assumptions!$C$33</definedName>
    <definedName name="K_ResTax">Assumptions!$C$34</definedName>
    <definedName name="K_ComTax">Assumptions!$C$35</definedName>
    <definedName name="K_ResValShare">Assumptions!$C$36</definedName>
    <definedName name="K_LevyGrowth">Assumptions!$C$37</definedName>
    <definedName name="K_BlendApp">Assumptions!$C$38</definedName>
    <definedName name="K_PermitRate26">Assumptions!$C$41</definedName>
    <definedName name="K_PermitRate27">Assumptions!$C$42</definedName>
    <definedName name="K_Permits2025">Assumptions!$C$43</definedName>
    <definedName name="K_Inv2019">Assumptions!$C$44</definedName>
    <definedName name="K_Inv2025">Assumptions!$C$45</definedName>
    <definedName name="K_InvEst2025">Assumptions!$C$46</definedName>
    <definedName name="K_InvFlat">Assumptions!$C$47</definedName>
    <definedName name="K_Meals2019">Assumptions!$C$48</definedName>
    <definedName name="K_Meals2025">Assumptions!$C$49</definedName>
    <definedName name="K_MealsGrowth">Assumptions!$C$50</definedName>
    <definedName name="K_MealsPerSqft">Assumptions!$C$51</definedName>
    <definedName name="R_LRresid2025">Assumptions!$C$52</definedName>
    <definedName name="R_LRbase">Assumptions!$C$53</definedName>
    <definedName name="R_SA2026">Assumptions!$C$54</definedName>
    <definedName name="R_SA2027">Assumptions!$C$55</definedName>
    <definedName name="R_SAbase">Assumptions!$C$56</definedName>
    <definedName name="R_BudgetRatio">Assumptions!$C$59</definedName>
    <definedName name="R_OtherSurplus">Assumptions!$C$60</definedName>
    <definedName name="R_ApprShare">Assumptions!$C$61</definedName>
    <definedName name="K_ChcaStart">Assumptions!$C$64</definedName>
    <definedName name="K_ChcaSpan">Assumptions!$C$65</definedName>
    <definedName name="K_ChcaDollarYr">Assumptions!$C$66</definedName>
    <definedName name="K_ChcaUnits">Assumptions!$C$67</definedName>
    <definedName name="K_ChcaSPU">Assumptions!$C$68</definedName>
    <definedName name="K_ChcaEmp">Assumptions!$C$69</definedName>
    <definedName name="K_pD">Assumptions!$C$72</definedName>
    <definedName name="K_psD">Assumptions!$C$73</definedName>
    <definedName name="K_TownFTE">Assumptions!$C$74</definedName>
    <definedName name="K_BasePay">Assumptions!$C$75</definedName>
    <definedName name="K_BenLoad">Assumptions!$C$76</definedName>
    <definedName name="K_CostPerEmp">Assumptions!$C$77</definedName>
    <definedName name="K_SqftPerEmp">Assumptions!$C$78</definedName>
    <definedName name="K_Permit">Assumptions!$C$79</definedName>
    <definedName name="K_CIP">Assumptions!$C$80</definedName>
    <definedName name="K_NonApp">Assumptions!$C$81</definedName>
    <definedName name="K_NonAppG">Assumptions!$C$82</definedName>
    <definedName name="K_Reserve">Assumptions!$C$83</definedName>
    <definedName name="K_GenFY31">Assumptions!$C$84</definedName>
    <definedName name="K_NonAppFY31">Assumptions!$C$85</definedName>
    <definedName name="K_ActShare">Assumptions!$C$86</definedName>
    <definedName name="K_RetGrowth">Assumptions!$C$87</definedName>
    <definedName name="K_OPEBStep">Assumptions!$C$88</definedName>
    <definedName name="K_PenNCPrem">Assumptions!$C$89</definedName>
    <definedName name="K_PenRate">Assumptions!$C$90</definedName>
    <definedName name="K_DebtGrowth">Assumptions!$C$91</definedName>
    <definedName name="K_Homes25">Assumptions!$C$94</definedName>
    <definedName name="K_FireHomes">Assumptions!$C$95</definedName>
    <definedName name="K_FireCost">Assumptions!$C$96</definedName>
    <definedName name="K_PSShare">Assumptions!$C$97</definedName>
    <definedName name="K_PSPos">Assumptions!$C$98</definedName>
    <definedName name="K_PSRestoreN">Assumptions!$C$99</definedName>
    <definedName name="K_FireSteps">Assumptions!$C$100</definedName>
    <definedName name="K_PolRefill28">Assumptions!$C$101</definedName>
    <definedName name="K_PolRefill29">Assumptions!$C$102</definedName>
    <definedName name="K_FCDeposit">Assumptions!$C$103</definedName>
    <definedName name="K_FCReserve">Assumptions!$C$104</definedName>
    <definedName name="K_OpebRate">Assumptions!$C$105</definedName>
    <definedName name="K_OpebTrendLong">Assumptions!$C$106</definedName>
    <definedName name="K_OpebTol27">Assumptions!$C$107</definedName>
    <definedName name="K_OpebA27">Assumptions!$C$108</definedName>
    <definedName name="K_OpebSC27">Assumptions!$C$109</definedName>
    <definedName name="K_OpebB27">Assumptions!$C$110</definedName>
    <definedName name="K_PSSharePol">Assumptions!$C$111</definedName>
    <definedName name="K_PolBudget">Assumptions!$C$112</definedName>
    <definedName name="K_PolRatio">Assumptions!$C$113</definedName>
    <definedName name="K_Staff26">Assumptions!$C$116</definedName>
    <definedName name="K_SPS">Assumptions!$C$117</definedName>
    <definedName name="K_V">Assumptions!$C$118</definedName>
    <definedName name="K_Ratio2019">Assumptions!$C$119</definedName>
    <definedName name="K_FillSeat">Assumptions!$C$120</definedName>
    <definedName name="K_SPH">Assumptions!$C$121</definedName>
    <definedName name="A_TD">Assumptions!$C$124</definedName>
    <definedName name="A_Sch">Assumptions!$C$125</definedName>
    <definedName name="A_GH">Assumptions!$C$126</definedName>
    <definedName name="A_Pen">Assumptions!$C$127</definedName>
    <definedName name="A_OPEB">Assumptions!$C$128</definedName>
    <definedName name="A_OB">Assumptions!$C$129</definedName>
    <definedName name="A_Debt">Assumptions!$C$130</definedName>
    <definedName name="A_Other">Assumptions!$C$131</definedName>
    <definedName name="A_OtherFunds">Assumptions!$C$132</definedName>
    <definedName name="A_FTEchg">Assumptions!$C$133</definedName>
    <definedName name="ChcaProp">Assumptions!$C$141</definedName>
    <definedName name="ChcaLR">Assumptions!$D$141</definedName>
    <definedName name="ChcaResShare">Assumptions!$B$141</definedName>
    <definedName name="In_pay">Settings!$B$7</definedName>
    <definedName name="In_opeb">Settings!$B$8</definedName>
    <definedName name="In_staffing">Settings!$B$9</definedName>
    <definedName name="In_premium_long">Settings!$B$10</definedName>
    <definedName name="In_growth">Settings!$B$11</definedName>
    <definedName name="In_homes">Settings!$B$12</definedName>
    <definedName name="In_school_drift">Settings!$B$15</definedName>
    <definedName name="In_ps_premium">Settings!$B$16</definedName>
    <definedName name="In_lr">Settings!$B$17</definedName>
    <definedName name="In_cpi">Settings!$B$18</definedName>
    <definedName name="In_sa">Settings!$B$19</definedName>
    <definedName name="In_mix">Settings!$B$22</definedName>
    <definedName name="In_fill">Settings!$B$23</definedName>
    <definedName name="In_enroll">Settings!$B$24</definedName>
    <definedName name="In_migration">Settings!$B$25</definedName>
    <definedName name="In_premium_near">Settings!$B$26</definedName>
    <definedName name="In_np_extra">Settings!$B$27</definedName>
    <definedName name="In_capital">Settings!$B$28</definedName>
    <definedName name="In_cost_home">Settings!$B$29</definedName>
    <definedName name="In_ps_staff">Settings!$B$30</definedName>
    <definedName name="In_chca">Settings!$B$31</definedName>
    <definedName name="In_slip">Settings!$B$32</definedName>
    <definedName name="In_ng2728">Settings!$B$33</definedName>
    <definedName name="In_ov_amt">Settings!$B$34</definedName>
    <definedName name="In_ov_year">Settings!$B$35</definedName>
    <definedName name="PayTown">Settings!$B$39</definedName>
    <definedName name="PSPrem">Settings!$B$40</definedName>
    <definedName name="SchDrift">Settings!$B$41</definedName>
    <definedName name="PremLong">Settings!$B$42</definedName>
    <definedName name="PremNear">Settings!$B$43</definedName>
    <definedName name="Inflation">Settings!$B$44</definedName>
    <definedName name="NPExtra">Settings!$B$45</definedName>
    <definedName name="CostHome">Settings!$B$46</definedName>
    <definedName name="StateAidGrowth">Settings!$B$47</definedName>
    <definedName name="ReceiptsGrowth">Settings!$B$48</definedName>
    <definedName name="Redirect">Settings!$B$49</definedName>
    <definedName name="OpebHold">Settings!$B$50</definedName>
    <definedName name="RatioMode">Settings!$B$51</definedName>
    <definedName name="MixCode">Settings!$B$52</definedName>
    <definedName name="FillCap">Settings!$B$53</definedName>
    <definedName name="HomesShare">Settings!$B$54</definedName>
    <definedName name="EnrollMode">Settings!$B$55</definedName>
    <definedName name="Migration">Settings!$B$56</definedName>
    <definedName name="CapFull">Settings!$B$57</definedName>
    <definedName name="ChcaEstimate">Settings!$B$58</definedName>
    <definedName name="NgEarlyYears">Settings!$B$59</definedName>
    <definedName name="ChcaOn">Settings!$B$60</definedName>
    <definedName name="PensionSlip">Settings!$B$61</definedName>
    <definedName name="FireStep">Settings!$B$62</definedName>
    <definedName name="PSRestore">Settings!$B$63</definedName>
    <definedName name="PoliceStep">Settings!$B$64</definedName>
    <definedName name="GrowthStep">Settings!$B$65</definedName>
    <definedName name="GrowthRate">Settings!$B$66</definedName>
    <definedName name="OvAmt">Settings!$B$67</definedName>
    <definedName name="OvYear">Settings!$B$68</definedName>
    <definedName name="Rate_ResNew">'Revenue build'!$C$7</definedName>
    <definedName name="Rate_ResReno">'Revenue build'!$C$8</definedName>
    <definedName name="Rate_ComNew">'Revenue build'!$C$9</definedName>
    <definedName name="Rate_ComReno">'Revenue build'!$C$10</definedName>
    <definedName name="Rate_PP">'Revenue build'!$C$11</definedName>
    <definedName name="Enroll27">Forecast!$C$89</definedName>
    <definedName name="Staff27">Forecast!$C$90</definedName>
    <definedName name="Ratio27">Forecast!$C$91</definedName>
    <definedName name="RatioTarget">Forecast!$C$92</definedName>
    <definedName name="AllStaff27">Forecast!$C$93</definedName>
    <definedName name="PayToFY27">Forecast!$C$94</definedName>
    <definedName name="PSPayToFY27">Forecast!$C$95</definedName>
    <definedName name="PenNC30">Forecast!$C$96</definedName>
    <definedName name="PenSlipPay">Forecast!$C$97</definedName>
  </definedNames>
  <calcPr calcId="124519" fullCalcOnLoad="1"/>
</workbook>
</file>

<file path=xl/styles.xml><?xml version="1.0" encoding="utf-8"?>
<styleSheet xmlns="http://schemas.openxmlformats.org/spreadsheetml/2006/main">
  <numFmts count="14">
    <numFmt numFmtId="164" formatCode="&quot;FY&quot;0"/>
    <numFmt numFmtId="165" formatCode="&quot;$&quot;#,##0;[Red]-&quot;$&quot;#,##0"/>
    <numFmt numFmtId="166" formatCode="0.000%"/>
    <numFmt numFmtId="167" formatCode="0.0%"/>
    <numFmt numFmtId="168" formatCode="0.0000%"/>
    <numFmt numFmtId="169" formatCode="#,##0.0"/>
    <numFmt numFmtId="170" formatCode="0.0"/>
    <numFmt numFmtId="171" formatCode="&quot;$&quot;0.0000"/>
    <numFmt numFmtId="172" formatCode="0.000"/>
    <numFmt numFmtId="173" formatCode="0.0000"/>
    <numFmt numFmtId="174" formatCode="&quot;$&quot;#,##0.00"/>
    <numFmt numFmtId="175" formatCode="+0.00%;-0.00%;0.00%"/>
    <numFmt numFmtId="176" formatCode="&quot;$&quot;#,##0.00;[Red]-&quot;$&quot;#,##0.00"/>
    <numFmt numFmtId="177" formatCode="#,##0;(#,##0)"/>
  </numFmts>
  <fonts count="12">
    <font>
      <name val="Calibri"/>
      <family val="2"/>
      <color theme="1"/>
      <sz val="11"/>
      <scheme val="minor"/>
    </font>
    <font>
      <name val="Calibri"/>
      <b val="1"/>
      <color rgb="001F3A5F"/>
      <sz val="16"/>
    </font>
    <font>
      <name val="Calibri"/>
      <i val="1"/>
      <color rgb="00555555"/>
    </font>
    <font>
      <name val="Calibri"/>
      <b val="1"/>
    </font>
    <font>
      <name val="Calibri"/>
      <b val="1"/>
      <color rgb="001F3A5F"/>
      <sz val="12"/>
    </font>
    <font>
      <name val="Calibri"/>
      <color rgb="000000FF"/>
    </font>
    <font>
      <name val="Calibri"/>
      <color rgb="00008000"/>
    </font>
    <font>
      <b val="1"/>
      <color rgb="00FFFFFF"/>
      <sz val="16"/>
    </font>
    <font>
      <i val="1"/>
      <color rgb="00808080"/>
      <sz val="9"/>
    </font>
    <font>
      <b val="1"/>
      <color rgb="001F3A5F"/>
      <sz val="12"/>
    </font>
    <font>
      <b val="1"/>
    </font>
    <font/>
  </fonts>
  <fills count="10">
    <fill>
      <patternFill/>
    </fill>
    <fill>
      <patternFill patternType="gray125"/>
    </fill>
    <fill>
      <patternFill patternType="solid">
        <fgColor rgb="00E3E9F1"/>
      </patternFill>
    </fill>
    <fill>
      <patternFill patternType="solid">
        <fgColor rgb="00F4F4F2"/>
      </patternFill>
    </fill>
    <fill>
      <patternFill patternType="solid">
        <fgColor rgb="00FFF2CC"/>
      </patternFill>
    </fill>
    <fill>
      <patternFill patternType="solid">
        <fgColor rgb="00E8F0E4"/>
      </patternFill>
    </fill>
    <fill>
      <patternFill patternType="solid">
        <fgColor rgb="001F3A5F"/>
      </patternFill>
    </fill>
    <fill>
      <patternFill patternType="solid">
        <fgColor rgb="00D9E2F3"/>
      </patternFill>
    </fill>
    <fill>
      <patternFill patternType="solid">
        <fgColor rgb="00E7E6E6"/>
      </patternFill>
    </fill>
    <fill>
      <patternFill patternType="solid">
        <fgColor rgb="00E2EFDA"/>
      </patternFill>
    </fill>
  </fills>
  <borders count="3">
    <border>
      <left/>
      <right/>
      <top/>
      <bottom/>
      <diagonal/>
    </border>
    <border>
      <left style="thin">
        <color rgb="00BBBBBB"/>
      </left>
      <right style="thin">
        <color rgb="00BBBBBB"/>
      </right>
      <top style="thin">
        <color rgb="00BBBBBB"/>
      </top>
      <bottom style="thin">
        <color rgb="00BBBBBB"/>
      </bottom>
    </border>
    <border>
      <bottom style="thin">
        <color rgb="00BFBFBF"/>
      </bottom>
    </border>
  </borders>
  <cellStyleXfs count="1">
    <xf numFmtId="0" fontId="0" fillId="0" borderId="0"/>
  </cellStyleXfs>
  <cellXfs count="75">
    <xf numFmtId="0" fontId="0" fillId="0" borderId="0" pivotButton="0" quotePrefix="0" xfId="0"/>
    <xf numFmtId="0" fontId="1" fillId="0" borderId="0" pivotButton="0" quotePrefix="0" xfId="0"/>
    <xf numFmtId="0" fontId="4"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pivotButton="0" quotePrefix="0" xfId="0"/>
    <xf numFmtId="175" fontId="0" fillId="4" borderId="1" pivotButton="0" quotePrefix="0" xfId="0"/>
    <xf numFmtId="175" fontId="0" fillId="0" borderId="0" pivotButton="0" quotePrefix="0" xfId="0"/>
    <xf numFmtId="10" fontId="0" fillId="3" borderId="0" pivotButton="0" quotePrefix="0" xfId="0"/>
    <xf numFmtId="0" fontId="0" fillId="4" borderId="1" pivotButton="0" quotePrefix="0" xfId="0"/>
    <xf numFmtId="167" fontId="0" fillId="4" borderId="1" pivotButton="0" quotePrefix="0" xfId="0"/>
    <xf numFmtId="167" fontId="0" fillId="0" borderId="0" pivotButton="0" quotePrefix="0" xfId="0"/>
    <xf numFmtId="1" fontId="0" fillId="4" borderId="1" pivotButton="0" quotePrefix="0" xfId="0"/>
    <xf numFmtId="1" fontId="0" fillId="0" borderId="0" pivotButton="0" quotePrefix="0" xfId="0"/>
    <xf numFmtId="10" fontId="0" fillId="4" borderId="1" pivotButton="0" quotePrefix="0" xfId="0"/>
    <xf numFmtId="10" fontId="0" fillId="0" borderId="0" pivotButton="0" quotePrefix="0" xfId="0"/>
    <xf numFmtId="165" fontId="0" fillId="4" borderId="1" pivotButton="0" quotePrefix="0" xfId="0"/>
    <xf numFmtId="165" fontId="0" fillId="0" borderId="0" pivotButton="0" quotePrefix="0" xfId="0"/>
    <xf numFmtId="164" fontId="0" fillId="4" borderId="1" pivotButton="0" quotePrefix="0" xfId="0"/>
    <xf numFmtId="164" fontId="0" fillId="0" borderId="0" pivotButton="0" quotePrefix="0" xfId="0"/>
    <xf numFmtId="0" fontId="2" fillId="0" borderId="0" pivotButton="0" quotePrefix="0" xfId="0"/>
    <xf numFmtId="175" fontId="0" fillId="3" borderId="0" pivotButton="0" quotePrefix="0" xfId="0"/>
    <xf numFmtId="165" fontId="0" fillId="3" borderId="0" pivotButton="0" quotePrefix="0" xfId="0"/>
    <xf numFmtId="1" fontId="0" fillId="3" borderId="0" pivotButton="0" quotePrefix="0" xfId="0"/>
    <xf numFmtId="49" fontId="0" fillId="3" borderId="0" pivotButton="0" quotePrefix="0" xfId="0"/>
    <xf numFmtId="9" fontId="0" fillId="3" borderId="0" pivotButton="0" quotePrefix="0" xfId="0"/>
    <xf numFmtId="164" fontId="0" fillId="3" borderId="0" pivotButton="0" quotePrefix="0" xfId="0"/>
    <xf numFmtId="0" fontId="3" fillId="0" borderId="0" pivotButton="0" quotePrefix="0" xfId="0"/>
    <xf numFmtId="164" fontId="3" fillId="2" borderId="0" pivotButton="0" quotePrefix="0" xfId="0"/>
    <xf numFmtId="165" fontId="3" fillId="0" borderId="0" pivotButton="0" quotePrefix="0" xfId="0"/>
    <xf numFmtId="0" fontId="3" fillId="5" borderId="0" pivotButton="0" quotePrefix="0" xfId="0"/>
    <xf numFmtId="165" fontId="3" fillId="5" borderId="0" pivotButton="0" quotePrefix="0" xfId="0"/>
    <xf numFmtId="3" fontId="0" fillId="0" borderId="0" pivotButton="0" quotePrefix="0" xfId="0"/>
    <xf numFmtId="169" fontId="0" fillId="0" borderId="0" pivotButton="0" quotePrefix="0" xfId="0"/>
    <xf numFmtId="169" fontId="6" fillId="3" borderId="0" pivotButton="0" quotePrefix="0" xfId="0"/>
    <xf numFmtId="3" fontId="6" fillId="3" borderId="0" pivotButton="0" quotePrefix="0" xfId="0"/>
    <xf numFmtId="165" fontId="6" fillId="3" borderId="0" pivotButton="0" quotePrefix="0" xfId="0"/>
    <xf numFmtId="169" fontId="0" fillId="3" borderId="0" pivotButton="0" quotePrefix="0" xfId="0"/>
    <xf numFmtId="3" fontId="0" fillId="3" borderId="0" pivotButton="0" quotePrefix="0" xfId="0"/>
    <xf numFmtId="172" fontId="0" fillId="3" borderId="0" pivotButton="0" quotePrefix="0" xfId="0"/>
    <xf numFmtId="173" fontId="0" fillId="3" borderId="0" pivotButton="0" quotePrefix="0" xfId="0"/>
    <xf numFmtId="168" fontId="0" fillId="3" borderId="0" pivotButton="0" quotePrefix="0" xfId="0"/>
    <xf numFmtId="168" fontId="0" fillId="0" borderId="0" pivotButton="0" quotePrefix="0" xfId="0"/>
    <xf numFmtId="0" fontId="0" fillId="0" borderId="0" applyAlignment="1" pivotButton="0" quotePrefix="0" xfId="0">
      <alignment/>
    </xf>
    <xf numFmtId="172" fontId="0" fillId="0" borderId="0" pivotButton="0" quotePrefix="0" xfId="0"/>
    <xf numFmtId="0" fontId="3" fillId="0" borderId="0" applyAlignment="1" pivotButton="0" quotePrefix="0" xfId="0">
      <alignment/>
    </xf>
    <xf numFmtId="167" fontId="5" fillId="0" borderId="0" pivotButton="0" quotePrefix="0" xfId="0"/>
    <xf numFmtId="166" fontId="0" fillId="0" borderId="0" pivotButton="0" quotePrefix="0" xfId="0"/>
    <xf numFmtId="168" fontId="5" fillId="0" borderId="0" pivotButton="0" quotePrefix="0" xfId="0"/>
    <xf numFmtId="165" fontId="5" fillId="0" borderId="0" pivotButton="0" quotePrefix="0" xfId="0"/>
    <xf numFmtId="170" fontId="5" fillId="0" borderId="0" pivotButton="0" quotePrefix="0" xfId="0"/>
    <xf numFmtId="10" fontId="5" fillId="0" borderId="0" pivotButton="0" quotePrefix="0" xfId="0"/>
    <xf numFmtId="171" fontId="0" fillId="0" borderId="0" pivotButton="0" quotePrefix="0" xfId="0"/>
    <xf numFmtId="1" fontId="5" fillId="0" borderId="0" pivotButton="0" quotePrefix="0" xfId="0"/>
    <xf numFmtId="3" fontId="5" fillId="0" borderId="0" pivotButton="0" quotePrefix="0" xfId="0"/>
    <xf numFmtId="172" fontId="5" fillId="0" borderId="0" pivotButton="0" quotePrefix="0" xfId="0"/>
    <xf numFmtId="169" fontId="5" fillId="0" borderId="0" pivotButton="0" quotePrefix="0" xfId="0"/>
    <xf numFmtId="173" fontId="0" fillId="0" borderId="0" pivotButton="0" quotePrefix="0" xfId="0"/>
    <xf numFmtId="174" fontId="0" fillId="0" borderId="0" pivotButton="0" quotePrefix="0" xfId="0"/>
    <xf numFmtId="9" fontId="5" fillId="0" borderId="0" pivotButton="0" quotePrefix="0" xfId="0"/>
    <xf numFmtId="2" fontId="5" fillId="0" borderId="0" pivotButton="0" quotePrefix="0" xfId="0"/>
    <xf numFmtId="173" fontId="5" fillId="0" borderId="0" pivotButton="0" quotePrefix="0" xfId="0"/>
    <xf numFmtId="0" fontId="3" fillId="2" borderId="0" applyAlignment="1" pivotButton="0" quotePrefix="0" xfId="0">
      <alignment vertical="top" wrapText="1"/>
    </xf>
    <xf numFmtId="166" fontId="0" fillId="3" borderId="0" pivotButton="0" quotePrefix="0" xfId="0"/>
    <xf numFmtId="167" fontId="0" fillId="3" borderId="0" pivotButton="0" quotePrefix="0" xfId="0"/>
    <xf numFmtId="176" fontId="0" fillId="0" borderId="0" pivotButton="0" quotePrefix="0" xfId="0"/>
    <xf numFmtId="0" fontId="1" fillId="6" borderId="0" pivotButton="0" quotePrefix="0" xfId="0"/>
    <xf numFmtId="0" fontId="8" fillId="0" borderId="0" applyAlignment="1" pivotButton="0" quotePrefix="0" xfId="0">
      <alignment vertical="top" wrapText="1"/>
    </xf>
    <xf numFmtId="0" fontId="9" fillId="0" borderId="0" pivotButton="0" quotePrefix="0" xfId="0"/>
    <xf numFmtId="0" fontId="10" fillId="7" borderId="2" pivotButton="0" quotePrefix="0" xfId="0"/>
    <xf numFmtId="0" fontId="10" fillId="7" borderId="2" applyAlignment="1" pivotButton="0" quotePrefix="0" xfId="0">
      <alignment horizontal="center"/>
    </xf>
    <xf numFmtId="0" fontId="11" fillId="8" borderId="0" pivotButton="0" quotePrefix="0" xfId="0"/>
    <xf numFmtId="177" fontId="0" fillId="0" borderId="0" pivotButton="0" quotePrefix="0" xfId="0"/>
    <xf numFmtId="0" fontId="10" fillId="9" borderId="0" pivotButton="0" quotePrefix="0" xfId="0"/>
    <xf numFmtId="0" fontId="11" fillId="0" borderId="0" pivotButton="0" quotePrefix="0" xfId="0"/>
  </cellXfs>
  <cellStyles count="1">
    <cellStyle name="Normal" xfId="0" builtinId="0" hidden="0"/>
  </cellStyles>
  <dxfs count="2">
    <dxf>
      <font>
        <b val="1"/>
        <color rgb="009C0006"/>
      </font>
      <fill>
        <patternFill patternType="solid">
          <fgColor rgb="00FFC7CE"/>
        </patternFill>
      </fill>
    </dxf>
    <dxf>
      <font>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20" customWidth="1" min="1" max="1"/>
  </cols>
  <sheetData>
    <row r="1">
      <c r="A1" s="1" t="inlineStr">
        <is>
          <t>Brookline's finances to 2040: the forecast as a spreadsheet</t>
        </is>
      </c>
    </row>
    <row r="3">
      <c r="A3" s="2" t="inlineStr">
        <is>
          <t>What this is</t>
        </is>
      </c>
    </row>
    <row r="5" ht="30" customHeight="1">
      <c r="A5" s="3" t="inlineStr">
        <is>
          <t>This workbook is the Forecast Explorer (brooklinefuture.org/forecast/explorer) in spreadsheet form. It runs the same forecast, from the same numbers, with every step a formula you can follow.</t>
        </is>
      </c>
    </row>
    <row r="6">
      <c r="A6" s="2" t="inlineStr">
        <is>
          <t>How to use it</t>
        </is>
      </c>
    </row>
    <row r="7" ht="15" customHeight="1">
      <c r="A7" s="3" t="inlineStr">
        <is>
          <t>1. Go to Settings and change any yellow cell. Each setting is a control on the Explorer, with the same choices.</t>
        </is>
      </c>
    </row>
    <row r="8" ht="30" customHeight="1">
      <c r="A8" s="3" t="inlineStr">
        <is>
          <t>2. Read the result on Forecast: revenue, spending and the room (revenue minus spending) for every year to FY2040. A negative room means spending runs ahead of revenue that year.</t>
        </is>
      </c>
    </row>
    <row r="9" ht="15" customHeight="1">
      <c r="A9" s="3" t="inlineStr">
        <is>
          <t>3. To start over, copy the Base case column on Settings back into Your value.</t>
        </is>
      </c>
    </row>
    <row r="10">
      <c r="A10" s="2" t="inlineStr">
        <is>
          <t>The sheets</t>
        </is>
      </c>
    </row>
    <row r="11" ht="15" customHeight="1">
      <c r="A11" s="3" t="inlineStr">
        <is>
          <t>Settings: the 23 settings, their base case values and allowed ranges, and, below them, how the model reads each one.</t>
        </is>
      </c>
    </row>
    <row r="12" ht="30" customHeight="1">
      <c r="A12" s="3" t="inlineStr">
        <is>
          <t>Forecast: the results at the top, then every working step the model takes, row by row, in the order the Explorer's engine takes them.</t>
        </is>
      </c>
    </row>
    <row r="13" ht="45" customHeight="1">
      <c r="A13" s="3" t="inlineStr">
        <is>
          <t>Revenue build: property tax year by year. Last year's levy limit, plus 2.5%, plus new growth in five kinds, plus the May 2026 override; then the homes and commercial space that new growth stands for, and the permit fees and meals tax that come with it.</t>
        </is>
      </c>
    </row>
    <row r="14" ht="15" customHeight="1">
      <c r="A14" s="3" t="inlineStr">
        <is>
          <t>Worked example: one year, FY2033, followed step by step from the levy to the room, every number a live cell.</t>
        </is>
      </c>
    </row>
    <row r="15" ht="30" customHeight="1">
      <c r="A15" s="3" t="inlineStr">
        <is>
          <t>Assumptions: every fixed number the forecast uses, with how it is worked out and its source. Black values are formulas over the History sheet or published figures; blue values are typed from the source named.</t>
        </is>
      </c>
    </row>
    <row r="16" ht="15" customHeight="1">
      <c r="A16" s="3" t="inlineStr">
        <is>
          <t>History: the Town's record, FY2005 to FY2025, that the measured assumptions are averaged from.</t>
        </is>
      </c>
    </row>
    <row r="17" ht="30" customHeight="1">
      <c r="A17" s="3" t="inlineStr">
        <is>
          <t>Data: the Town's own year-by-year schedules (its January 2026 long-range plan, the FY2027 budget as adopted, the May 2026 override) and the two enrollment forecasts. Nothing there needs editing.</t>
        </is>
      </c>
    </row>
    <row r="18" ht="30" customHeight="1">
      <c r="A18" s="3" t="inlineStr">
        <is>
          <t>Versus the Town's plan: the step-by-step walk from the Town's January 2026 plan, a deficit in FY2031, to the base case's room that year.</t>
        </is>
      </c>
    </row>
    <row r="19" ht="30" customHeight="1">
      <c r="A19" s="3" t="inlineStr">
        <is>
          <t>Checks: the Explorer's engine, run for the base case, beside this workbook. With base settings every gap is within $5 a year.</t>
        </is>
      </c>
    </row>
    <row r="20" ht="15" customHeight="1">
      <c r="A20" s="3" t="inlineStr">
        <is>
          <t>Appendix sheets: the FY2005 to FY2025 history from the earlier workbook, for reference.</t>
        </is>
      </c>
    </row>
    <row r="21">
      <c r="A21" s="2" t="inlineStr">
        <is>
          <t>What is typed in rather than calculated</t>
        </is>
      </c>
    </row>
    <row r="22" ht="45" customHeight="1">
      <c r="A22" s="3" t="inlineStr">
        <is>
          <t>Figures read from documents: the Town's long-range plan and adopted budget, tax rates, fee schedules, the Fire Department's costing, RKG's study and the enrollment forecasts. Each is in blue on Assumptions or Data with its source. Everything else is a formula.</t>
        </is>
      </c>
    </row>
    <row r="23">
      <c r="A23" s="2" t="inlineStr">
        <is>
          <t>How it was checked</t>
        </is>
      </c>
    </row>
    <row r="24" ht="45" customHeight="1">
      <c r="A24" s="3" t="inlineStr">
        <is>
          <t>Every year's revenue, spending and room were recalculated with a formula engine and compared with the Explorer's own engine for the base case and for scenarios that move every setting at least once. All matched within $5 a year. The Revenue build was also checked against the Python revenue model for every growth setting, mix and Chestnut Hill estimate.</t>
        </is>
      </c>
    </row>
    <row r="25" ht="30" customHeight="1">
      <c r="A25" s="3" t="inlineStr">
        <is>
          <t>The forecast's method was also run backward over FY2011 to FY2025, given what actually happened to staffing, enrollment and prices: it came within about 4% of what Town departments actually spent in FY2025, and within 6% for schools.</t>
        </is>
      </c>
    </row>
    <row r="26">
      <c r="A26" s="2" t="inlineStr">
        <is>
          <t>Debt exclusions</t>
        </is>
      </c>
    </row>
    <row r="27" ht="30" customHeight="1">
      <c r="A27" s="3" t="inlineStr">
        <is>
          <t>Voter-approved debt exclusions run through the General Fund but pay for nothing except their own building debt, so the forecast sets them aside on both the revenue and the spending side; they would add the same amount to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1" max="1"/>
    <col width="44" customWidth="1" min="2" max="2"/>
    <col width="44" customWidth="1" min="3" max="3"/>
    <col width="20" customWidth="1" min="4" max="4"/>
    <col width="13" customWidth="1" min="5" max="5"/>
    <col width="90" customWidth="1" min="6" max="6"/>
  </cols>
  <sheetData>
    <row r="1">
      <c r="A1" s="1" t="inlineStr">
        <is>
          <t>Settings</t>
        </is>
      </c>
    </row>
    <row r="2" ht="48" customHeight="1">
      <c r="A2" s="4" t="inlineStr">
        <is>
          <t>Change the yellow cells; the Forecast sheet updates. Each setting matches a control on the Forecast Explorer, with the same choices. To return to the base case, copy the Base case column back into Your value.</t>
        </is>
      </c>
    </row>
    <row r="4">
      <c r="A4" s="5" t="inlineStr">
        <is>
          <t>Setting</t>
        </is>
      </c>
      <c r="B4" s="5" t="inlineStr">
        <is>
          <t>Your value</t>
        </is>
      </c>
      <c r="C4" s="5" t="inlineStr">
        <is>
          <t>Base case</t>
        </is>
      </c>
      <c r="D4" s="5" t="inlineStr">
        <is>
          <t>Allowed</t>
        </is>
      </c>
      <c r="E4" s="5" t="inlineStr">
        <is>
          <t>Works out to</t>
        </is>
      </c>
      <c r="F4" s="5" t="inlineStr">
        <is>
          <t>What it means</t>
        </is>
      </c>
    </row>
    <row r="6">
      <c r="A6" s="2" t="inlineStr">
        <is>
          <t>The big six</t>
        </is>
      </c>
    </row>
    <row r="7">
      <c r="A7" s="3" t="inlineStr">
        <is>
          <t>Pay raises compared with the base case</t>
        </is>
      </c>
      <c r="B7" s="6" t="n">
        <v>0</v>
      </c>
      <c r="C7" s="7" t="n">
        <v>0</v>
      </c>
      <c r="D7" t="inlineStr">
        <is>
          <t>-1.5 to +2.0 points</t>
        </is>
      </c>
      <c r="E7" s="8">
        <f>PayTown</f>
        <v/>
      </c>
      <c r="F7" s="3" t="inlineStr">
        <is>
          <t>Moves every employee group's yearly raise by the same amount. The base case starts from the Town's 3.0% bargaining target, with schools and Public Safety above it (next group).</t>
        </is>
      </c>
    </row>
    <row r="8">
      <c r="A8" s="3" t="inlineStr">
        <is>
          <t>Pension savings after full funding</t>
        </is>
      </c>
      <c r="B8" s="9" t="inlineStr">
        <is>
          <t>Moved to retiree health (OPEB), the Town's plan; once it's paid off, held for a decision</t>
        </is>
      </c>
      <c r="C8" t="inlineStr">
        <is>
          <t>Moved to retiree health (OPEB), the Town's plan; once it's paid off, held for a decision</t>
        </is>
      </c>
      <c r="D8" t="inlineStr">
        <is>
          <t>Choose from the list</t>
        </is>
      </c>
      <c r="F8" s="3" t="inlineStr">
        <is>
          <t>The pension system reaches full funding in FY2030. The Town plans to use the money it stops paying toward pensions to pay down its retiree health (OPEB) liability instead. Once that is paid off, the base case keeps the money in the budget for a decision then; the second choice counts it as room.</t>
        </is>
      </c>
    </row>
    <row r="9">
      <c r="A9" s="3" t="inlineStr">
        <is>
          <t>School staff as enrollment falls</t>
        </is>
      </c>
      <c r="B9" s="9" t="inlineStr">
        <is>
          <t>Fall half as fast as enrollment, as in FY2019 to FY2025</t>
        </is>
      </c>
      <c r="C9" t="inlineStr">
        <is>
          <t>Fall half as fast as enrollment, as in FY2019 to FY2025</t>
        </is>
      </c>
      <c r="D9" t="inlineStr">
        <is>
          <t>Choose from the list</t>
        </is>
      </c>
      <c r="F9" s="3" t="inlineStr">
        <is>
          <t>From FY2019 to FY2025 enrollment fell 10.6% and school staff 5.0%, about half as fast. The base case continues that pattern; students from new homes are staffed in full. The School Department's own plan holds staff at the FY2027 level.</t>
        </is>
      </c>
    </row>
    <row r="10">
      <c r="A10" s="3" t="inlineStr">
        <is>
          <t>Health premium growth, FY2030 on</t>
        </is>
      </c>
      <c r="B10" s="10" t="n">
        <v>0.08</v>
      </c>
      <c r="C10" s="11" t="n">
        <v>0.08</v>
      </c>
      <c r="D10" t="inlineStr">
        <is>
          <t>5% to 12%</t>
        </is>
      </c>
      <c r="F10" s="3" t="inlineStr">
        <is>
          <t>Yearly rise in health insurance premiums. The 25-year average is 6.5%; recent years ran 10 to 12%.</t>
        </is>
      </c>
    </row>
    <row r="11">
      <c r="A11" s="3" t="inlineStr">
        <is>
          <t>Property tax new growth, tenths of a point above the recent trend</t>
        </is>
      </c>
      <c r="B11" s="12" t="n">
        <v>0</v>
      </c>
      <c r="C11" s="13" t="n">
        <v>0</v>
      </c>
      <c r="D11" t="inlineStr">
        <is>
          <t>-6 to 13</t>
        </is>
      </c>
      <c r="E11" s="8">
        <f>GrowthRate</f>
        <v/>
      </c>
      <c r="F11" s="3" t="inlineStr">
        <is>
          <t>Tax base added each year by construction, renovation and business equipment, as a share of last year's levy. 0 is the recent trend; each step is a tenth of a percentage point.</t>
        </is>
      </c>
    </row>
    <row r="12">
      <c r="A12" s="3" t="inlineStr">
        <is>
          <t>New homes built</t>
        </is>
      </c>
      <c r="B12" s="9" t="inlineStr">
        <is>
          <t>As expected</t>
        </is>
      </c>
      <c r="C12" t="inlineStr">
        <is>
          <t>As expected</t>
        </is>
      </c>
      <c r="D12" t="inlineStr">
        <is>
          <t>Choose from the list</t>
        </is>
      </c>
      <c r="F12" s="3" t="inlineStr">
        <is>
          <t>Scales only the new-homes part of new growth (about a sixth of it), including any added growth above; renovation, commercial space and business equipment continue at their pace. The enrollment forecast is left as it is.</t>
        </is>
      </c>
    </row>
    <row r="14">
      <c r="A14" s="2" t="inlineStr">
        <is>
          <t>The next five</t>
        </is>
      </c>
    </row>
    <row r="15">
      <c r="A15" s="3" t="inlineStr">
        <is>
          <t>School pay above the Town target</t>
        </is>
      </c>
      <c r="B15" s="6" t="n">
        <v>0.007</v>
      </c>
      <c r="C15" s="7" t="n">
        <v>0.007</v>
      </c>
      <c r="D15" t="inlineStr">
        <is>
          <t>0 to 2.5 points</t>
        </is>
      </c>
      <c r="E15" s="8">
        <f>PayTown+SchDrift</f>
        <v/>
      </c>
      <c r="F15" s="3" t="inlineStr">
        <is>
          <t>The base case puts school pay 0.7 point above the Town target (3.7%). The schools' own forecast implies about 2 points.</t>
        </is>
      </c>
    </row>
    <row r="16">
      <c r="A16" s="3" t="inlineStr">
        <is>
          <t>Public Safety pay above the Town target</t>
        </is>
      </c>
      <c r="B16" s="6" t="n">
        <v>0.005</v>
      </c>
      <c r="C16" s="7" t="n">
        <v>0.005</v>
      </c>
      <c r="D16" t="inlineStr">
        <is>
          <t>0 to 2.5 points</t>
        </is>
      </c>
      <c r="E16" s="8">
        <f>PayTown+PSPrem</f>
        <v/>
      </c>
      <c r="F16" s="3" t="inlineStr">
        <is>
          <t>The base case puts Public Safety pay 0.5 point above the target (3.5%). Police and fire cost per position grew about 3.3% a year from FY2011 to FY2025; the agreed fire steps and police refills are counted on top.</t>
        </is>
      </c>
    </row>
    <row r="17">
      <c r="A17" s="3" t="inlineStr">
        <is>
          <t>Local receipts growth</t>
        </is>
      </c>
      <c r="B17" s="14" t="n">
        <v>0.0176489843</v>
      </c>
      <c r="C17" s="15" t="n">
        <v>0.0176489843</v>
      </c>
      <c r="D17" t="inlineStr">
        <is>
          <t>1% to 6%</t>
        </is>
      </c>
      <c r="F17" s="3" t="inlineStr">
        <is>
          <t>Fees, excise and other local revenue, apart from meals tax and building permits. Base: the FY2019 to FY2025 rate.</t>
        </is>
      </c>
    </row>
    <row r="18">
      <c r="A18" s="3" t="inlineStr">
        <is>
          <t>Inflation</t>
        </is>
      </c>
      <c r="B18" s="14" t="n">
        <v>0.025</v>
      </c>
      <c r="C18" s="15" t="n">
        <v>0.025</v>
      </c>
      <c r="D18" t="inlineStr">
        <is>
          <t>1.5% to 5%</t>
        </is>
      </c>
      <c r="F18" s="3" t="inlineStr">
        <is>
          <t>Price growth for everything that is not pay: supplies, utilities, contracts.</t>
        </is>
      </c>
    </row>
    <row r="19">
      <c r="A19" s="3" t="inlineStr">
        <is>
          <t>State aid growth</t>
        </is>
      </c>
      <c r="B19" s="14" t="n">
        <v>0.025</v>
      </c>
      <c r="C19" s="15" t="n">
        <v>0.025</v>
      </c>
      <c r="D19" t="inlineStr">
        <is>
          <t>0% to 6%</t>
        </is>
      </c>
      <c r="F19" s="3" t="inlineStr">
        <is>
          <t>Chapter 70 school aid and unrestricted local aid, from the adopted FY2027 figure. Base: 2.5%, the Town plan's rate.</t>
        </is>
      </c>
    </row>
    <row r="21">
      <c r="A21" s="2" t="inlineStr">
        <is>
          <t>Everything else</t>
        </is>
      </c>
    </row>
    <row r="22">
      <c r="A22" s="3" t="inlineStr">
        <is>
          <t>Where added growth comes from</t>
        </is>
      </c>
      <c r="B22" s="9" t="inlineStr">
        <is>
          <t>Today's mix</t>
        </is>
      </c>
      <c r="C22" t="inlineStr">
        <is>
          <t>Today's mix</t>
        </is>
      </c>
      <c r="D22" t="inlineStr">
        <is>
          <t>Choose from the list</t>
        </is>
      </c>
      <c r="F22" s="3" t="inlineStr">
        <is>
          <t>Only matters when new growth is set above the recent trend. New homes add students and services; commercial space pays a higher tax rate and costs less to serve.</t>
        </is>
      </c>
    </row>
    <row r="23">
      <c r="A23" s="3" t="inlineStr">
        <is>
          <t>Students from added homes</t>
        </is>
      </c>
      <c r="B23" s="9" t="inlineStr">
        <is>
          <t>Each brings new staff at today's ratio</t>
        </is>
      </c>
      <c r="C23" t="inlineStr">
        <is>
          <t>Each brings new staff at today's ratio</t>
        </is>
      </c>
      <c r="D23" t="inlineStr">
        <is>
          <t>Choose from the list</t>
        </is>
      </c>
      <c r="F23" s="3" t="inlineStr">
        <is>
          <t>Students from added homes can fill seats left open as enrollment falls: all of them with staff held at the FY2027 level, half of them with staff falling half as fast. Has no effect when staff follow enrollment fully.</t>
        </is>
      </c>
    </row>
    <row r="24">
      <c r="A24" s="3" t="inlineStr">
        <is>
          <t>School enrollment forecast</t>
        </is>
      </c>
      <c r="B24" s="9" t="inlineStr">
        <is>
          <t>NESDEC (declines)</t>
        </is>
      </c>
      <c r="C24" t="inlineStr">
        <is>
          <t>NESDEC (declines)</t>
        </is>
      </c>
      <c r="D24" t="inlineStr">
        <is>
          <t>Choose from the list</t>
        </is>
      </c>
      <c r="F24" s="3" t="inlineStr">
        <is>
          <t>Which enrollment path the schools serve.</t>
        </is>
      </c>
    </row>
    <row r="25">
      <c r="A25" s="3" t="inlineStr">
        <is>
          <t>Families moving in, change in each class a year</t>
        </is>
      </c>
      <c r="B25" s="6" t="n">
        <v>0</v>
      </c>
      <c r="C25" s="7" t="n">
        <v>0</v>
      </c>
      <c r="D25" t="inlineStr">
        <is>
          <t>-1 to +2 points</t>
        </is>
      </c>
      <c r="F25" s="3" t="inlineStr">
        <is>
          <t>How much each class grows or shrinks each year from families moving in and out, beyond what NESDEC assumes, for children of every age from birth on, so kindergartners per birth move with it. Since COVID classes have grown about 0.35 point a year faster than NESDEC assumes. Changes the NESDEC path only.</t>
        </is>
      </c>
    </row>
    <row r="26">
      <c r="A26" s="3" t="inlineStr">
        <is>
          <t>Health premium growth, FY2028 and FY2029</t>
        </is>
      </c>
      <c r="B26" s="10" t="n">
        <v>0.12</v>
      </c>
      <c r="C26" s="11" t="n">
        <v>0.12</v>
      </c>
      <c r="D26" t="inlineStr">
        <is>
          <t>6% to 14%</t>
        </is>
      </c>
      <c r="F26" s="3" t="inlineStr">
        <is>
          <t>The Town's own forecast for the next two years.</t>
        </is>
      </c>
    </row>
    <row r="27">
      <c r="A27" s="3" t="inlineStr">
        <is>
          <t>School non-personnel costs above inflation</t>
        </is>
      </c>
      <c r="B27" s="6" t="n">
        <v>0</v>
      </c>
      <c r="C27" s="7" t="n">
        <v>0</v>
      </c>
      <c r="D27" t="inlineStr">
        <is>
          <t>0 to 3 points</t>
        </is>
      </c>
      <c r="F27" s="3" t="inlineStr">
        <is>
          <t>Special education placements and transportation have at times grown faster than prices in general.</t>
        </is>
      </c>
    </row>
    <row r="28">
      <c r="A28" s="3" t="inlineStr">
        <is>
          <t>Capital funding</t>
        </is>
      </c>
      <c r="B28" s="9" t="inlineStr">
        <is>
          <t>The 6.6% policy, from FY2028</t>
        </is>
      </c>
      <c r="C28" t="inlineStr">
        <is>
          <t>The 6.6% policy, from FY2028</t>
        </is>
      </c>
      <c r="D28" t="inlineStr">
        <is>
          <t>Choose from the list</t>
        </is>
      </c>
      <c r="F28" s="3" t="inlineStr">
        <is>
          <t>The Select Board's policy puts 6.6% of the prior year's net revenue into capital from FY2028; holding capital at the Town's six-year table's dollars comes to about 6% of this forecast's net revenue.</t>
        </is>
      </c>
    </row>
    <row r="29">
      <c r="A29" s="3" t="inlineStr">
        <is>
          <t>Town cost of serving a new home (FY2025 $)</t>
        </is>
      </c>
      <c r="B29" s="16" t="n">
        <v>660</v>
      </c>
      <c r="C29" s="17" t="n">
        <v>660</v>
      </c>
      <c r="D29" t="inlineStr">
        <is>
          <t>$200 to $1,200</t>
        </is>
      </c>
      <c r="F29" s="3" t="inlineStr">
        <is>
          <t>Town department cost per added home a year, before schools. The forecast leaves out fire's share, about a fifth, since fire is counted in steps under Police and fire staffing, and police's share too when police grow with homes.</t>
        </is>
      </c>
    </row>
    <row r="30">
      <c r="A30" s="3" t="inlineStr">
        <is>
          <t>Police and fire staffing</t>
        </is>
      </c>
      <c r="B30" s="9" t="inlineStr">
        <is>
          <t>FY2027 budget, plus a fire company at about 31,200 homes</t>
        </is>
      </c>
      <c r="C30" t="inlineStr">
        <is>
          <t>FY2027 budget, plus a fire company at about 31,200 homes</t>
        </is>
      </c>
      <c r="D30" t="inlineStr">
        <is>
          <t>Choose from the list</t>
        </is>
      </c>
      <c r="F30" s="3" t="inlineStr">
        <is>
          <t>The FY2027 budget funds 128 sworn police and 160 firefighters. A fire company (20 firefighters) is added when the town reaches about 31,200 homes. Police growing with homes keeps 4.42 officers per 1,000 homes; restoring earlier staffing adds 16 positions from FY2028.</t>
        </is>
      </c>
    </row>
    <row r="31">
      <c r="A31" s="3" t="inlineStr">
        <is>
          <t>Chestnut Hill redevelopment</t>
        </is>
      </c>
      <c r="B31" s="9" t="inlineStr">
        <is>
          <t>Approved program, Town Meeting May 2026</t>
        </is>
      </c>
      <c r="C31" t="inlineStr">
        <is>
          <t>Approved program, Town Meeting May 2026</t>
        </is>
      </c>
      <c r="D31" t="inlineStr">
        <is>
          <t>Choose from the list</t>
        </is>
      </c>
      <c r="F31" s="3" t="inlineStr">
        <is>
          <t>266 homes and a 200-room hotel, arriving FY2032 to FY2034. The estimates differ only in revenue.</t>
        </is>
      </c>
    </row>
    <row r="32">
      <c r="A32" s="3" t="inlineStr">
        <is>
          <t>Pension full funding slips</t>
        </is>
      </c>
      <c r="B32" s="9" t="inlineStr">
        <is>
          <t>On schedule, FY2030</t>
        </is>
      </c>
      <c r="C32" t="inlineStr">
        <is>
          <t>On schedule, FY2030</t>
        </is>
      </c>
      <c r="D32" t="inlineStr">
        <is>
          <t>Choose from the list</t>
        </is>
      </c>
      <c r="F32" s="3" t="inlineStr">
        <is>
          <t>If investment returns fall short, full pension contributions continue for longer.</t>
        </is>
      </c>
    </row>
    <row r="33">
      <c r="A33" s="3" t="inlineStr">
        <is>
          <t>New growth in FY2027 and FY2028</t>
        </is>
      </c>
      <c r="B33" s="9" t="inlineStr">
        <is>
          <t>The recent trend (the base case)</t>
        </is>
      </c>
      <c r="C33" t="inlineStr">
        <is>
          <t>The recent trend (the base case)</t>
        </is>
      </c>
      <c r="D33" t="inlineStr">
        <is>
          <t>Choose from the list</t>
        </is>
      </c>
      <c r="F33" s="3" t="inlineStr">
        <is>
          <t>Building permits show new growth about two years ahead. The 2024 and 2025 permits point to real estate new growth well below the trend in FY2027 and FY2028; business equipment stays at its trend. The shortfall then carries through every later levy. The Explorer does not have this setting.</t>
        </is>
      </c>
    </row>
    <row r="34">
      <c r="A34" s="3" t="inlineStr">
        <is>
          <t>A further override (first-year dollars)</t>
        </is>
      </c>
      <c r="B34" s="16" t="n">
        <v>0</v>
      </c>
      <c r="C34" s="17" t="n">
        <v>0</v>
      </c>
      <c r="D34" t="inlineStr">
        <is>
          <t>$0 to $30,000,000</t>
        </is>
      </c>
      <c r="F34" s="3" t="inlineStr">
        <is>
          <t>An operating override added to the levy, growing 2.5% a year after. The forecast itself never assumes one.</t>
        </is>
      </c>
    </row>
    <row r="35">
      <c r="A35" s="3" t="inlineStr">
        <is>
          <t>First year of that override</t>
        </is>
      </c>
      <c r="B35" s="18" t="n">
        <v>2031</v>
      </c>
      <c r="C35" s="19" t="n">
        <v>2031</v>
      </c>
      <c r="D35" t="inlineStr">
        <is>
          <t>2029 to 2035</t>
        </is>
      </c>
      <c r="F35" s="3" t="inlineStr">
        <is>
          <t>Only matters when the override above is more than zero.</t>
        </is>
      </c>
    </row>
    <row r="37">
      <c r="A37" s="2" t="inlineStr">
        <is>
          <t>How the model reads these settings (worked out, do not edit)</t>
        </is>
      </c>
    </row>
    <row r="38">
      <c r="A38" s="20" t="inlineStr">
        <is>
          <t>Each line turns a choice above into the value the Forecast sheet uses.</t>
        </is>
      </c>
    </row>
    <row r="39">
      <c r="A39" t="inlineStr">
        <is>
          <t>Pay growth, Town staff</t>
        </is>
      </c>
      <c r="B39" s="8">
        <f>K_BasePay+In_pay</f>
        <v/>
      </c>
    </row>
    <row r="40">
      <c r="A40" t="inlineStr">
        <is>
          <t>Public Safety above the target</t>
        </is>
      </c>
      <c r="B40" s="21">
        <f>In_ps_premium</f>
        <v/>
      </c>
    </row>
    <row r="41">
      <c r="A41" t="inlineStr">
        <is>
          <t>Schools above the target</t>
        </is>
      </c>
      <c r="B41" s="21">
        <f>In_school_drift</f>
        <v/>
      </c>
    </row>
    <row r="42">
      <c r="A42" t="inlineStr">
        <is>
          <t>Health premiums, FY2030 on</t>
        </is>
      </c>
      <c r="B42" s="8">
        <f>In_premium_long</f>
        <v/>
      </c>
    </row>
    <row r="43">
      <c r="A43" t="inlineStr">
        <is>
          <t>Health premiums, FY2028 and FY2029</t>
        </is>
      </c>
      <c r="B43" s="8">
        <f>In_premium_near</f>
        <v/>
      </c>
    </row>
    <row r="44">
      <c r="A44" t="inlineStr">
        <is>
          <t>Inflation</t>
        </is>
      </c>
      <c r="B44" s="8">
        <f>In_cpi</f>
        <v/>
      </c>
    </row>
    <row r="45">
      <c r="A45" t="inlineStr">
        <is>
          <t>School non-personnel above inflation</t>
        </is>
      </c>
      <c r="B45" s="21">
        <f>In_np_extra</f>
        <v/>
      </c>
    </row>
    <row r="46">
      <c r="A46" t="inlineStr">
        <is>
          <t>Town cost of a new home</t>
        </is>
      </c>
      <c r="B46" s="22">
        <f>In_cost_home</f>
        <v/>
      </c>
    </row>
    <row r="47">
      <c r="A47" t="inlineStr">
        <is>
          <t>State aid growth</t>
        </is>
      </c>
      <c r="B47" s="8">
        <f>In_sa</f>
        <v/>
      </c>
    </row>
    <row r="48">
      <c r="A48" t="inlineStr">
        <is>
          <t>Local receipts growth</t>
        </is>
      </c>
      <c r="B48" s="8">
        <f>In_lr</f>
        <v/>
      </c>
    </row>
    <row r="49">
      <c r="A49" t="inlineStr">
        <is>
          <t>Pension savings move to OPEB (1 yes, 0 no)</t>
        </is>
      </c>
      <c r="B49" s="23">
        <f>IF(INDEX(Data!$D$42:$D$44,MATCH(In_opeb,Data!$C$42:$C$44,0))="keep",0,1)</f>
        <v/>
      </c>
    </row>
    <row r="50">
      <c r="A50" t="inlineStr">
        <is>
          <t>Money freed by the OPEB payoff held for a decision (1 yes, 0 no)</t>
        </is>
      </c>
      <c r="B50" s="23">
        <f>IF(INDEX(Data!$D$42:$D$44,MATCH(In_opeb,Data!$C$42:$C$44,0))="redirect",1,0)</f>
        <v/>
      </c>
    </row>
    <row r="51">
      <c r="A51" t="inlineStr">
        <is>
          <t>School staffing rule</t>
        </is>
      </c>
      <c r="B51" s="24">
        <f>INDEX(Data!$D$45:$D$48,MATCH(In_staffing,Data!$C$45:$C$48,0))</f>
        <v/>
      </c>
    </row>
    <row r="52">
      <c r="A52" t="inlineStr">
        <is>
          <t>Growth mix</t>
        </is>
      </c>
      <c r="B52" s="24">
        <f>INDEX(Data!$D$49:$D$52,MATCH(In_mix,Data!$C$49:$C$52,0))</f>
        <v/>
      </c>
    </row>
    <row r="53">
      <c r="A53" t="inlineStr">
        <is>
          <t>Students fill open seats (1 yes, 0 no)</t>
        </is>
      </c>
      <c r="B53" s="23">
        <f>IF(INDEX(Data!$D$56:$D$57,MATCH(In_fill,Data!$C$56:$C$57,0))="fill",1,0)</f>
        <v/>
      </c>
    </row>
    <row r="54">
      <c r="A54" t="inlineStr">
        <is>
          <t>Share of expected new homes built</t>
        </is>
      </c>
      <c r="B54" s="25">
        <f>IF(INDEX(Data!$D$53:$D$55,MATCH(In_homes,Data!$C$53:$C$55,0))="half",0.5,IF(INDEX(Data!$D$53:$D$55,MATCH(In_homes,Data!$C$53:$C$55,0))="none",0,1))</f>
        <v/>
      </c>
    </row>
    <row r="55">
      <c r="A55" t="inlineStr">
        <is>
          <t>Enrollment path</t>
        </is>
      </c>
      <c r="B55" s="24">
        <f>INDEX(Data!$D$58:$D$60,MATCH(In_enroll,Data!$C$58:$C$60,0))</f>
        <v/>
      </c>
    </row>
    <row r="56">
      <c r="A56" t="inlineStr">
        <is>
          <t>Families moving in, change in each class a year</t>
        </is>
      </c>
      <c r="B56" s="21">
        <f>In_migration</f>
        <v/>
      </c>
    </row>
    <row r="57">
      <c r="A57" t="inlineStr">
        <is>
          <t>Capital at the full policy (1 yes, 0 no)</t>
        </is>
      </c>
      <c r="B57" s="23">
        <f>IF(INDEX(Data!$D$61:$D$62,MATCH(In_capital,Data!$C$61:$C$62,0))="full",1,0)</f>
        <v/>
      </c>
    </row>
    <row r="58">
      <c r="A58" t="inlineStr">
        <is>
          <t>Chestnut Hill estimate</t>
        </is>
      </c>
      <c r="B58" s="24">
        <f>INDEX(Data!$D$63:$D$66,MATCH(In_chca,Data!$C$63:$C$66,0))</f>
        <v/>
      </c>
    </row>
    <row r="59">
      <c r="A59" t="inlineStr">
        <is>
          <t>New growth in FY2027 and FY2028</t>
        </is>
      </c>
      <c r="B59" s="24">
        <f>INDEX(Data!$D$71:$D$74,MATCH(In_ng2728,Data!$C$71:$C$74,0))</f>
        <v/>
      </c>
    </row>
    <row r="60">
      <c r="A60" t="inlineStr">
        <is>
          <t>Chestnut Hill counted on top of trend (1 yes, 0 no)</t>
        </is>
      </c>
      <c r="B60" s="23">
        <f>IF(ChcaEstimate="in_trend",0,1)</f>
        <v/>
      </c>
    </row>
    <row r="61">
      <c r="A61" t="inlineStr">
        <is>
          <t>Years pension full funding slips</t>
        </is>
      </c>
      <c r="B61" s="23">
        <f>INDEX(Data!$D$75:$D$78,MATCH(In_slip,Data!$C$75:$C$78,0))</f>
        <v/>
      </c>
    </row>
    <row r="62">
      <c r="A62" t="inlineStr">
        <is>
          <t>Fire company added at the threshold (1 yes, 0 no)</t>
        </is>
      </c>
      <c r="B62" s="23">
        <f>IF(INDEX(Data!$D$67:$D$70,MATCH(In_ps_staff,Data!$C$67:$C$70,0))="none",0,1)</f>
        <v/>
      </c>
    </row>
    <row r="63">
      <c r="A63" t="inlineStr">
        <is>
          <t>Police and fire restored to earlier staffing (1 yes, 0 no)</t>
        </is>
      </c>
      <c r="B63" s="23">
        <f>IF(INDEX(Data!$D$67:$D$70,MATCH(In_ps_staff,Data!$C$67:$C$70,0))="restore",1,0)</f>
        <v/>
      </c>
    </row>
    <row r="64">
      <c r="A64" t="inlineStr">
        <is>
          <t>Police grow with homes at the peer ratio (1 yes, 0 no)</t>
        </is>
      </c>
      <c r="B64" s="23">
        <f>IF(INDEX(Data!$D$67:$D$70,MATCH(In_ps_staff,Data!$C$67:$C$70,0))="police",1,0)</f>
        <v/>
      </c>
    </row>
    <row r="65">
      <c r="A65" t="inlineStr">
        <is>
          <t>New growth step, tenths of a point</t>
        </is>
      </c>
      <c r="B65" s="23">
        <f>In_growth</f>
        <v/>
      </c>
    </row>
    <row r="66">
      <c r="A66" t="inlineStr">
        <is>
          <t>New growth rate, share of last year's levy</t>
        </is>
      </c>
      <c r="B66" s="8">
        <f>K_TrendRate+GrowthStep*0.001</f>
        <v/>
      </c>
    </row>
    <row r="67">
      <c r="A67" t="inlineStr">
        <is>
          <t>Further override, first-year dollars</t>
        </is>
      </c>
      <c r="B67" s="22">
        <f>In_ov_amt</f>
        <v/>
      </c>
    </row>
    <row r="68">
      <c r="A68" t="inlineStr">
        <is>
          <t>Further override, first year</t>
        </is>
      </c>
      <c r="B68" s="26">
        <f>In_ov_year</f>
        <v/>
      </c>
    </row>
  </sheetData>
  <mergeCells count="1">
    <mergeCell ref="A2:F2"/>
  </mergeCells>
  <dataValidations count="25">
    <dataValidation sqref="B7" showDropDown="0" showInputMessage="0" showErrorMessage="1" allowBlank="0" errorTitle="Out of range" error="Allowed: -1.5 to +2.0 points" type="decimal" operator="between">
      <formula1>-0.015</formula1>
      <formula2>0.02</formula2>
    </dataValidation>
    <dataValidation sqref="B8" showDropDown="0" showInputMessage="0" showErrorMessage="1" allowBlank="0" errorTitle="Out of range" error="Allowed: Choose from the list" type="list">
      <formula1>=Data!$C$42:$C$44</formula1>
    </dataValidation>
    <dataValidation sqref="B9" showDropDown="0" showInputMessage="0" showErrorMessage="1" allowBlank="0" errorTitle="Out of range" error="Allowed: Choose from the list" type="list">
      <formula1>=Data!$C$45:$C$48</formula1>
    </dataValidation>
    <dataValidation sqref="B10" showDropDown="0" showInputMessage="0" showErrorMessage="1" allowBlank="0" errorTitle="Out of range" error="Allowed: 5% to 12%" type="decimal" operator="between">
      <formula1>0.05</formula1>
      <formula2>0.12</formula2>
    </dataValidation>
    <dataValidation sqref="B11" showDropDown="0" showInputMessage="0" showErrorMessage="1" allowBlank="0" errorTitle="Out of range" error="Allowed: -6 to 13" type="whole" operator="between">
      <formula1>-6</formula1>
      <formula2>13</formula2>
    </dataValidation>
    <dataValidation sqref="B12" showDropDown="0" showInputMessage="0" showErrorMessage="1" allowBlank="0" errorTitle="Out of range" error="Allowed: Choose from the list" type="list">
      <formula1>=Data!$C$53:$C$55</formula1>
    </dataValidation>
    <dataValidation sqref="B15" showDropDown="0" showInputMessage="0" showErrorMessage="1" allowBlank="0" errorTitle="Out of range" error="Allowed: 0 to 2.5 points" type="decimal" operator="between">
      <formula1>0</formula1>
      <formula2>0.025</formula2>
    </dataValidation>
    <dataValidation sqref="B16" showDropDown="0" showInputMessage="0" showErrorMessage="1" allowBlank="0" errorTitle="Out of range" error="Allowed: 0 to 2.5 points" type="decimal" operator="between">
      <formula1>0</formula1>
      <formula2>0.025</formula2>
    </dataValidation>
    <dataValidation sqref="B17" showDropDown="0" showInputMessage="0" showErrorMessage="1" allowBlank="0" errorTitle="Out of range" error="Allowed: 1% to 6%" type="decimal" operator="between">
      <formula1>0.01</formula1>
      <formula2>0.06</formula2>
    </dataValidation>
    <dataValidation sqref="B18" showDropDown="0" showInputMessage="0" showErrorMessage="1" allowBlank="0" errorTitle="Out of range" error="Allowed: 1.5% to 5%" type="decimal" operator="between">
      <formula1>0.015</formula1>
      <formula2>0.05</formula2>
    </dataValidation>
    <dataValidation sqref="B19" showDropDown="0" showInputMessage="0" showErrorMessage="1" allowBlank="0" errorTitle="Out of range" error="Allowed: 0% to 6%" type="decimal" operator="between">
      <formula1>0</formula1>
      <formula2>0.06</formula2>
    </dataValidation>
    <dataValidation sqref="B22" showDropDown="0" showInputMessage="0" showErrorMessage="1" allowBlank="0" errorTitle="Out of range" error="Allowed: Choose from the list" type="list">
      <formula1>=Data!$C$49:$C$52</formula1>
    </dataValidation>
    <dataValidation sqref="B23" showDropDown="0" showInputMessage="0" showErrorMessage="1" allowBlank="0" errorTitle="Out of range" error="Allowed: Choose from the list" type="list">
      <formula1>=Data!$C$56:$C$57</formula1>
    </dataValidation>
    <dataValidation sqref="B24" showDropDown="0" showInputMessage="0" showErrorMessage="1" allowBlank="0" errorTitle="Out of range" error="Allowed: Choose from the list" type="list">
      <formula1>=Data!$C$58:$C$60</formula1>
    </dataValidation>
    <dataValidation sqref="B25" showDropDown="0" showInputMessage="0" showErrorMessage="1" allowBlank="0" errorTitle="Out of range" error="Allowed: -1 to +2 points" type="decimal" operator="between">
      <formula1>-0.01</formula1>
      <formula2>0.02</formula2>
    </dataValidation>
    <dataValidation sqref="B26" showDropDown="0" showInputMessage="0" showErrorMessage="1" allowBlank="0" errorTitle="Out of range" error="Allowed: 6% to 14%" type="decimal" operator="between">
      <formula1>0.06</formula1>
      <formula2>0.14</formula2>
    </dataValidation>
    <dataValidation sqref="B27" showDropDown="0" showInputMessage="0" showErrorMessage="1" allowBlank="0" errorTitle="Out of range" error="Allowed: 0 to 3 points" type="decimal" operator="between">
      <formula1>0</formula1>
      <formula2>0.03</formula2>
    </dataValidation>
    <dataValidation sqref="B28" showDropDown="0" showInputMessage="0" showErrorMessage="1" allowBlank="0" errorTitle="Out of range" error="Allowed: Choose from the list" type="list">
      <formula1>=Data!$C$61:$C$62</formula1>
    </dataValidation>
    <dataValidation sqref="B29" showDropDown="0" showInputMessage="0" showErrorMessage="1" allowBlank="0" errorTitle="Out of range" error="Allowed: $200 to $1,200" type="decimal" operator="between">
      <formula1>200</formula1>
      <formula2>1200</formula2>
    </dataValidation>
    <dataValidation sqref="B30" showDropDown="0" showInputMessage="0" showErrorMessage="1" allowBlank="0" errorTitle="Out of range" error="Allowed: Choose from the list" type="list">
      <formula1>=Data!$C$67:$C$70</formula1>
    </dataValidation>
    <dataValidation sqref="B31" showDropDown="0" showInputMessage="0" showErrorMessage="1" allowBlank="0" errorTitle="Out of range" error="Allowed: Choose from the list" type="list">
      <formula1>=Data!$C$63:$C$66</formula1>
    </dataValidation>
    <dataValidation sqref="B32" showDropDown="0" showInputMessage="0" showErrorMessage="1" allowBlank="0" errorTitle="Out of range" error="Allowed: Choose from the list" type="list">
      <formula1>=Data!$C$75:$C$78</formula1>
    </dataValidation>
    <dataValidation sqref="B33" showDropDown="0" showInputMessage="0" showErrorMessage="1" allowBlank="0" errorTitle="Out of range" error="Allowed: Choose from the list" type="list">
      <formula1>=Data!$C$71:$C$74</formula1>
    </dataValidation>
    <dataValidation sqref="B34" showDropDown="0" showInputMessage="0" showErrorMessage="1" allowBlank="0" errorTitle="Out of range" error="Allowed: $0 to $30,000,000" type="decimal" operator="between">
      <formula1>0</formula1>
      <formula2>30000000.0</formula2>
    </dataValidation>
    <dataValidation sqref="B35" showDropDown="0" showInputMessage="0" showErrorMessage="1" allowBlank="0" errorTitle="Out of range" error="Allowed: 2029 to 2035" type="whole" operator="between">
      <formula1>2029</formula1>
      <formula2>2035</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9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2" customWidth="1" min="1" max="1"/>
    <col width="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Forecast, FY2027 to FY2040</t>
        </is>
      </c>
    </row>
    <row r="2" ht="48" customHeight="1">
      <c r="A2" s="4" t="inlineStr">
        <is>
          <t>Revenue and spending of the General Fund, with voter-approved debt exclusions set aside on both sides. Everything here is a live formula driven by the Settings sheet, the Revenue build sheet and the Assumptions sheet. FY2026 appears only because the free cash cycle and new growth start from it.</t>
        </is>
      </c>
    </row>
    <row r="4">
      <c r="A4" s="27" t="inlineStr"/>
      <c r="C4" s="28" t="n">
        <v>2026</v>
      </c>
      <c r="D4" s="28" t="n">
        <v>2027</v>
      </c>
      <c r="E4" s="28" t="n">
        <v>2028</v>
      </c>
      <c r="F4" s="28" t="n">
        <v>2029</v>
      </c>
      <c r="G4" s="28" t="n">
        <v>2030</v>
      </c>
      <c r="H4" s="28" t="n">
        <v>2031</v>
      </c>
      <c r="I4" s="28" t="n">
        <v>2032</v>
      </c>
      <c r="J4" s="28" t="n">
        <v>2033</v>
      </c>
      <c r="K4" s="28" t="n">
        <v>2034</v>
      </c>
      <c r="L4" s="28" t="n">
        <v>2035</v>
      </c>
      <c r="M4" s="28" t="n">
        <v>2036</v>
      </c>
      <c r="N4" s="28" t="n">
        <v>2037</v>
      </c>
      <c r="O4" s="28" t="n">
        <v>2038</v>
      </c>
      <c r="P4" s="28" t="n">
        <v>2039</v>
      </c>
      <c r="Q4" s="28" t="n">
        <v>2040</v>
      </c>
    </row>
    <row r="5"/>
    <row r="6">
      <c r="A6" s="2" t="inlineStr">
        <is>
          <t>Revenue</t>
        </is>
      </c>
    </row>
    <row r="7">
      <c r="A7" t="inlineStr">
        <is>
          <t>Property tax (debt exclusions set aside)</t>
        </is>
      </c>
      <c r="D7" s="17">
        <f>D47-D48</f>
        <v/>
      </c>
      <c r="E7" s="17">
        <f>E47-E48</f>
        <v/>
      </c>
      <c r="F7" s="17">
        <f>F47-F48</f>
        <v/>
      </c>
      <c r="G7" s="17">
        <f>G47-G48</f>
        <v/>
      </c>
      <c r="H7" s="17">
        <f>H47-H48</f>
        <v/>
      </c>
      <c r="I7" s="17">
        <f>I47-I48</f>
        <v/>
      </c>
      <c r="J7" s="17">
        <f>J47-J48</f>
        <v/>
      </c>
      <c r="K7" s="17">
        <f>K47-K48</f>
        <v/>
      </c>
      <c r="L7" s="17">
        <f>L47-L48</f>
        <v/>
      </c>
      <c r="M7" s="17">
        <f>M47-M48</f>
        <v/>
      </c>
      <c r="N7" s="17">
        <f>N47-N48</f>
        <v/>
      </c>
      <c r="O7" s="17">
        <f>O47-O48</f>
        <v/>
      </c>
      <c r="P7" s="17">
        <f>P47-P48</f>
        <v/>
      </c>
      <c r="Q7" s="17">
        <f>Q47-Q48</f>
        <v/>
      </c>
    </row>
    <row r="8">
      <c r="A8" t="inlineStr">
        <is>
          <t>State aid</t>
        </is>
      </c>
      <c r="D8" s="17">
        <f>D72</f>
        <v/>
      </c>
      <c r="E8" s="17">
        <f>E72</f>
        <v/>
      </c>
      <c r="F8" s="17">
        <f>F72</f>
        <v/>
      </c>
      <c r="G8" s="17">
        <f>G72</f>
        <v/>
      </c>
      <c r="H8" s="17">
        <f>H72</f>
        <v/>
      </c>
      <c r="I8" s="17">
        <f>I72</f>
        <v/>
      </c>
      <c r="J8" s="17">
        <f>J72</f>
        <v/>
      </c>
      <c r="K8" s="17">
        <f>K72</f>
        <v/>
      </c>
      <c r="L8" s="17">
        <f>L72</f>
        <v/>
      </c>
      <c r="M8" s="17">
        <f>M72</f>
        <v/>
      </c>
      <c r="N8" s="17">
        <f>N72</f>
        <v/>
      </c>
      <c r="O8" s="17">
        <f>O72</f>
        <v/>
      </c>
      <c r="P8" s="17">
        <f>P72</f>
        <v/>
      </c>
      <c r="Q8" s="17">
        <f>Q72</f>
        <v/>
      </c>
    </row>
    <row r="9">
      <c r="A9" t="inlineStr">
        <is>
          <t>Local receipts, as budgeted</t>
        </is>
      </c>
      <c r="D9" s="17">
        <f>D76</f>
        <v/>
      </c>
      <c r="E9" s="17">
        <f>E76</f>
        <v/>
      </c>
      <c r="F9" s="17">
        <f>F76</f>
        <v/>
      </c>
      <c r="G9" s="17">
        <f>G76</f>
        <v/>
      </c>
      <c r="H9" s="17">
        <f>H76</f>
        <v/>
      </c>
      <c r="I9" s="17">
        <f>I76</f>
        <v/>
      </c>
      <c r="J9" s="17">
        <f>J76</f>
        <v/>
      </c>
      <c r="K9" s="17">
        <f>K76</f>
        <v/>
      </c>
      <c r="L9" s="17">
        <f>L76</f>
        <v/>
      </c>
      <c r="M9" s="17">
        <f>M76</f>
        <v/>
      </c>
      <c r="N9" s="17">
        <f>N76</f>
        <v/>
      </c>
      <c r="O9" s="17">
        <f>O76</f>
        <v/>
      </c>
      <c r="P9" s="17">
        <f>P76</f>
        <v/>
      </c>
      <c r="Q9" s="17">
        <f>Q76</f>
        <v/>
      </c>
    </row>
    <row r="10">
      <c r="A10" t="inlineStr">
        <is>
          <t>Free cash</t>
        </is>
      </c>
      <c r="D10" s="17">
        <f>D77</f>
        <v/>
      </c>
      <c r="E10" s="17">
        <f>E77</f>
        <v/>
      </c>
      <c r="F10" s="17">
        <f>F77</f>
        <v/>
      </c>
      <c r="G10" s="17">
        <f>G77</f>
        <v/>
      </c>
      <c r="H10" s="17">
        <f>H77</f>
        <v/>
      </c>
      <c r="I10" s="17">
        <f>I77</f>
        <v/>
      </c>
      <c r="J10" s="17">
        <f>J77</f>
        <v/>
      </c>
      <c r="K10" s="17">
        <f>K77</f>
        <v/>
      </c>
      <c r="L10" s="17">
        <f>L77</f>
        <v/>
      </c>
      <c r="M10" s="17">
        <f>M77</f>
        <v/>
      </c>
      <c r="N10" s="17">
        <f>N77</f>
        <v/>
      </c>
      <c r="O10" s="17">
        <f>O77</f>
        <v/>
      </c>
      <c r="P10" s="17">
        <f>P77</f>
        <v/>
      </c>
      <c r="Q10" s="17">
        <f>Q77</f>
        <v/>
      </c>
    </row>
    <row r="11">
      <c r="A11" t="inlineStr">
        <is>
          <t>Other available funds</t>
        </is>
      </c>
      <c r="D11" s="17">
        <f>D49</f>
        <v/>
      </c>
      <c r="E11" s="17">
        <f>E49</f>
        <v/>
      </c>
      <c r="F11" s="17">
        <f>F49</f>
        <v/>
      </c>
      <c r="G11" s="17">
        <f>G49</f>
        <v/>
      </c>
      <c r="H11" s="17">
        <f>H49</f>
        <v/>
      </c>
      <c r="I11" s="17">
        <f>I49</f>
        <v/>
      </c>
      <c r="J11" s="17">
        <f>J49</f>
        <v/>
      </c>
      <c r="K11" s="17">
        <f>K49</f>
        <v/>
      </c>
      <c r="L11" s="17">
        <f>L49</f>
        <v/>
      </c>
      <c r="M11" s="17">
        <f>M49</f>
        <v/>
      </c>
      <c r="N11" s="17">
        <f>N49</f>
        <v/>
      </c>
      <c r="O11" s="17">
        <f>O49</f>
        <v/>
      </c>
      <c r="P11" s="17">
        <f>P49</f>
        <v/>
      </c>
      <c r="Q11" s="17">
        <f>Q49</f>
        <v/>
      </c>
    </row>
    <row r="12">
      <c r="A12" t="inlineStr">
        <is>
          <t>A further override</t>
        </is>
      </c>
      <c r="D12" s="17">
        <f>D74</f>
        <v/>
      </c>
      <c r="E12" s="17">
        <f>E74</f>
        <v/>
      </c>
      <c r="F12" s="17">
        <f>F74</f>
        <v/>
      </c>
      <c r="G12" s="17">
        <f>G74</f>
        <v/>
      </c>
      <c r="H12" s="17">
        <f>H74</f>
        <v/>
      </c>
      <c r="I12" s="17">
        <f>I74</f>
        <v/>
      </c>
      <c r="J12" s="17">
        <f>J74</f>
        <v/>
      </c>
      <c r="K12" s="17">
        <f>K74</f>
        <v/>
      </c>
      <c r="L12" s="17">
        <f>L74</f>
        <v/>
      </c>
      <c r="M12" s="17">
        <f>M74</f>
        <v/>
      </c>
      <c r="N12" s="17">
        <f>N74</f>
        <v/>
      </c>
      <c r="O12" s="17">
        <f>O74</f>
        <v/>
      </c>
      <c r="P12" s="17">
        <f>P74</f>
        <v/>
      </c>
      <c r="Q12" s="17">
        <f>Q74</f>
        <v/>
      </c>
    </row>
    <row r="13">
      <c r="A13" s="27" t="inlineStr">
        <is>
          <t>Total revenue</t>
        </is>
      </c>
      <c r="B13" s="27" t="n"/>
      <c r="C13" s="27" t="n"/>
      <c r="D13" s="29">
        <f>D78-D48</f>
        <v/>
      </c>
      <c r="E13" s="29">
        <f>E78-E48</f>
        <v/>
      </c>
      <c r="F13" s="29">
        <f>F78-F48</f>
        <v/>
      </c>
      <c r="G13" s="29">
        <f>G78-G48</f>
        <v/>
      </c>
      <c r="H13" s="29">
        <f>H78-H48</f>
        <v/>
      </c>
      <c r="I13" s="29">
        <f>I78-I48</f>
        <v/>
      </c>
      <c r="J13" s="29">
        <f>J78-J48</f>
        <v/>
      </c>
      <c r="K13" s="29">
        <f>K78-K48</f>
        <v/>
      </c>
      <c r="L13" s="29">
        <f>L78-L48</f>
        <v/>
      </c>
      <c r="M13" s="29">
        <f>M78-M48</f>
        <v/>
      </c>
      <c r="N13" s="29">
        <f>N78-N48</f>
        <v/>
      </c>
      <c r="O13" s="29">
        <f>O78-O48</f>
        <v/>
      </c>
      <c r="P13" s="29">
        <f>P78-P48</f>
        <v/>
      </c>
      <c r="Q13" s="29">
        <f>Q78-Q48</f>
        <v/>
      </c>
    </row>
    <row r="15">
      <c r="A15" s="2" t="inlineStr">
        <is>
          <t>Spending</t>
        </is>
      </c>
    </row>
    <row r="16">
      <c r="A16" t="inlineStr">
        <is>
          <t>Town departments, today's services</t>
        </is>
      </c>
      <c r="D16" s="17">
        <f>A_TD*(K_pD*D66+(1-K_pD)*D58)+D37</f>
        <v/>
      </c>
      <c r="E16" s="17">
        <f>A_TD*(K_pD*E66+(1-K_pD)*E58)+E37</f>
        <v/>
      </c>
      <c r="F16" s="17">
        <f>A_TD*(K_pD*F66+(1-K_pD)*F58)+F37</f>
        <v/>
      </c>
      <c r="G16" s="17">
        <f>A_TD*(K_pD*G66+(1-K_pD)*G58)+G37</f>
        <v/>
      </c>
      <c r="H16" s="17">
        <f>A_TD*(K_pD*H66+(1-K_pD)*H58)+H37</f>
        <v/>
      </c>
      <c r="I16" s="17">
        <f>A_TD*(K_pD*I66+(1-K_pD)*I58)+I37</f>
        <v/>
      </c>
      <c r="J16" s="17">
        <f>A_TD*(K_pD*J66+(1-K_pD)*J58)+J37</f>
        <v/>
      </c>
      <c r="K16" s="17">
        <f>A_TD*(K_pD*K66+(1-K_pD)*K58)+K37</f>
        <v/>
      </c>
      <c r="L16" s="17">
        <f>A_TD*(K_pD*L66+(1-K_pD)*L58)+L37</f>
        <v/>
      </c>
      <c r="M16" s="17">
        <f>A_TD*(K_pD*M66+(1-K_pD)*M58)+M37</f>
        <v/>
      </c>
      <c r="N16" s="17">
        <f>A_TD*(K_pD*N66+(1-K_pD)*N58)+N37</f>
        <v/>
      </c>
      <c r="O16" s="17">
        <f>A_TD*(K_pD*O66+(1-K_pD)*O58)+O37</f>
        <v/>
      </c>
      <c r="P16" s="17">
        <f>A_TD*(K_pD*P66+(1-K_pD)*P58)+P37</f>
        <v/>
      </c>
      <c r="Q16" s="17">
        <f>A_TD*(K_pD*Q66+(1-K_pD)*Q58)+Q37</f>
        <v/>
      </c>
    </row>
    <row r="17">
      <c r="A17" t="inlineStr">
        <is>
          <t>Town services for added homes and businesses</t>
        </is>
      </c>
      <c r="D17" s="17">
        <f>(D34*CostHome*(1-K_PSShare*(FireStep*(1-K_PSSharePol)+PoliceStep*K_PSSharePol))+D67*K_CostPerEmp)*PayToFY27*D55+D36+D39</f>
        <v/>
      </c>
      <c r="E17" s="17">
        <f>(E34*CostHome*(1-K_PSShare*(FireStep*(1-K_PSSharePol)+PoliceStep*K_PSSharePol))+E67*K_CostPerEmp)*PayToFY27*E55+K_Permit*MAX(E45/E46-1,0)*E55+E36+E39</f>
        <v/>
      </c>
      <c r="F17" s="17">
        <f>(F34*CostHome*(1-K_PSShare*(FireStep*(1-K_PSSharePol)+PoliceStep*K_PSSharePol))+F67*K_CostPerEmp)*PayToFY27*F55+K_Permit*MAX(F45/F46-1,0)*F55+F36+F39</f>
        <v/>
      </c>
      <c r="G17" s="17">
        <f>(G34*CostHome*(1-K_PSShare*(FireStep*(1-K_PSSharePol)+PoliceStep*K_PSSharePol))+G67*K_CostPerEmp)*PayToFY27*G55+K_Permit*MAX(G45/G46-1,0)*G55+G36+G39</f>
        <v/>
      </c>
      <c r="H17" s="17">
        <f>(H34*CostHome*(1-K_PSShare*(FireStep*(1-K_PSSharePol)+PoliceStep*K_PSSharePol))+H67*K_CostPerEmp)*PayToFY27*H55+K_Permit*MAX(H45/H46-1,0)*H55+H36+H39</f>
        <v/>
      </c>
      <c r="I17" s="17">
        <f>(I34*CostHome*(1-K_PSShare*(FireStep*(1-K_PSSharePol)+PoliceStep*K_PSSharePol))+I67*K_CostPerEmp)*PayToFY27*I55+K_Permit*MAX(I45/I46-1,0)*I55+I36+I39</f>
        <v/>
      </c>
      <c r="J17" s="17">
        <f>(J34*CostHome*(1-K_PSShare*(FireStep*(1-K_PSSharePol)+PoliceStep*K_PSSharePol))+J67*K_CostPerEmp)*PayToFY27*J55+K_Permit*MAX(J45/J46-1,0)*J55+J36+J39</f>
        <v/>
      </c>
      <c r="K17" s="17">
        <f>(K34*CostHome*(1-K_PSShare*(FireStep*(1-K_PSSharePol)+PoliceStep*K_PSSharePol))+K67*K_CostPerEmp)*PayToFY27*K55+K_Permit*MAX(K45/K46-1,0)*K55+K36+K39</f>
        <v/>
      </c>
      <c r="L17" s="17">
        <f>(L34*CostHome*(1-K_PSShare*(FireStep*(1-K_PSSharePol)+PoliceStep*K_PSSharePol))+L67*K_CostPerEmp)*PayToFY27*L55+K_Permit*MAX(L45/L46-1,0)*L55+L36+L39</f>
        <v/>
      </c>
      <c r="M17" s="17">
        <f>(M34*CostHome*(1-K_PSShare*(FireStep*(1-K_PSSharePol)+PoliceStep*K_PSSharePol))+M67*K_CostPerEmp)*PayToFY27*M55+K_Permit*MAX(M45/M46-1,0)*M55+M36+M39</f>
        <v/>
      </c>
      <c r="N17" s="17">
        <f>(N34*CostHome*(1-K_PSShare*(FireStep*(1-K_PSSharePol)+PoliceStep*K_PSSharePol))+N67*K_CostPerEmp)*PayToFY27*N55+K_Permit*MAX(N45/N46-1,0)*N55+N36+N39</f>
        <v/>
      </c>
      <c r="O17" s="17">
        <f>(O34*CostHome*(1-K_PSShare*(FireStep*(1-K_PSSharePol)+PoliceStep*K_PSSharePol))+O67*K_CostPerEmp)*PayToFY27*O55+K_Permit*MAX(O45/O46-1,0)*O55+O36+O39</f>
        <v/>
      </c>
      <c r="P17" s="17">
        <f>(P34*CostHome*(1-K_PSShare*(FireStep*(1-K_PSSharePol)+PoliceStep*K_PSSharePol))+P67*K_CostPerEmp)*PayToFY27*P55+K_Permit*MAX(P45/P46-1,0)*P55+P36+P39</f>
        <v/>
      </c>
      <c r="Q17" s="17">
        <f>(Q34*CostHome*(1-K_PSShare*(FireStep*(1-K_PSSharePol)+PoliceStep*K_PSSharePol))+Q67*K_CostPerEmp)*PayToFY27*Q55+K_Permit*MAX(Q45/Q46-1,0)*Q55+Q36+Q39</f>
        <v/>
      </c>
    </row>
    <row r="18">
      <c r="A18" t="inlineStr">
        <is>
          <t>Schools</t>
        </is>
      </c>
      <c r="D18" s="17">
        <f>A_Sch*(K_SPS*D57*D33/Staff27+(1-K_SPS)*D59*((1-K_V)+K_V*D32/Enroll27))+D63*(K_FillSeat-A_Sch*(1-K_SPS)*K_V/Enroll27)*D57/$D$57</f>
        <v/>
      </c>
      <c r="E18" s="17">
        <f>A_Sch*(K_SPS*E57*E33/Staff27+(1-K_SPS)*E59*((1-K_V)+K_V*E32/Enroll27))+E63*(K_FillSeat-A_Sch*(1-K_SPS)*K_V/Enroll27)*E57/$D$57</f>
        <v/>
      </c>
      <c r="F18" s="17">
        <f>A_Sch*(K_SPS*F57*F33/Staff27+(1-K_SPS)*F59*((1-K_V)+K_V*F32/Enroll27))+F63*(K_FillSeat-A_Sch*(1-K_SPS)*K_V/Enroll27)*F57/$D$57</f>
        <v/>
      </c>
      <c r="G18" s="17">
        <f>A_Sch*(K_SPS*G57*G33/Staff27+(1-K_SPS)*G59*((1-K_V)+K_V*G32/Enroll27))+G63*(K_FillSeat-A_Sch*(1-K_SPS)*K_V/Enroll27)*G57/$D$57</f>
        <v/>
      </c>
      <c r="H18" s="17">
        <f>A_Sch*(K_SPS*H57*H33/Staff27+(1-K_SPS)*H59*((1-K_V)+K_V*H32/Enroll27))+H63*(K_FillSeat-A_Sch*(1-K_SPS)*K_V/Enroll27)*H57/$D$57</f>
        <v/>
      </c>
      <c r="I18" s="17">
        <f>A_Sch*(K_SPS*I57*I33/Staff27+(1-K_SPS)*I59*((1-K_V)+K_V*I32/Enroll27))+I63*(K_FillSeat-A_Sch*(1-K_SPS)*K_V/Enroll27)*I57/$D$57</f>
        <v/>
      </c>
      <c r="J18" s="17">
        <f>A_Sch*(K_SPS*J57*J33/Staff27+(1-K_SPS)*J59*((1-K_V)+K_V*J32/Enroll27))+J63*(K_FillSeat-A_Sch*(1-K_SPS)*K_V/Enroll27)*J57/$D$57</f>
        <v/>
      </c>
      <c r="K18" s="17">
        <f>A_Sch*(K_SPS*K57*K33/Staff27+(1-K_SPS)*K59*((1-K_V)+K_V*K32/Enroll27))+K63*(K_FillSeat-A_Sch*(1-K_SPS)*K_V/Enroll27)*K57/$D$57</f>
        <v/>
      </c>
      <c r="L18" s="17">
        <f>A_Sch*(K_SPS*L57*L33/Staff27+(1-K_SPS)*L59*((1-K_V)+K_V*L32/Enroll27))+L63*(K_FillSeat-A_Sch*(1-K_SPS)*K_V/Enroll27)*L57/$D$57</f>
        <v/>
      </c>
      <c r="M18" s="17">
        <f>A_Sch*(K_SPS*M57*M33/Staff27+(1-K_SPS)*M59*((1-K_V)+K_V*M32/Enroll27))+M63*(K_FillSeat-A_Sch*(1-K_SPS)*K_V/Enroll27)*M57/$D$57</f>
        <v/>
      </c>
      <c r="N18" s="17">
        <f>A_Sch*(K_SPS*N57*N33/Staff27+(1-K_SPS)*N59*((1-K_V)+K_V*N32/Enroll27))+N63*(K_FillSeat-A_Sch*(1-K_SPS)*K_V/Enroll27)*N57/$D$57</f>
        <v/>
      </c>
      <c r="O18" s="17">
        <f>A_Sch*(K_SPS*O57*O33/Staff27+(1-K_SPS)*O59*((1-K_V)+K_V*O32/Enroll27))+O63*(K_FillSeat-A_Sch*(1-K_SPS)*K_V/Enroll27)*O57/$D$57</f>
        <v/>
      </c>
      <c r="P18" s="17">
        <f>A_Sch*(K_SPS*P57*P33/Staff27+(1-K_SPS)*P59*((1-K_V)+K_V*P32/Enroll27))+P63*(K_FillSeat-A_Sch*(1-K_SPS)*K_V/Enroll27)*P57/$D$57</f>
        <v/>
      </c>
      <c r="Q18" s="17">
        <f>A_Sch*(K_SPS*Q57*Q33/Staff27+(1-K_SPS)*Q59*((1-K_V)+K_V*Q32/Enroll27))+Q63*(K_FillSeat-A_Sch*(1-K_SPS)*K_V/Enroll27)*Q57/$D$57</f>
        <v/>
      </c>
    </row>
    <row r="19">
      <c r="A19" t="inlineStr">
        <is>
          <t>Health insurance</t>
        </is>
      </c>
      <c r="D19" s="17">
        <f>A_GH*D71*D60</f>
        <v/>
      </c>
      <c r="E19" s="17">
        <f>A_GH*E71*E60</f>
        <v/>
      </c>
      <c r="F19" s="17">
        <f>A_GH*F71*F60</f>
        <v/>
      </c>
      <c r="G19" s="17">
        <f>A_GH*G71*G60</f>
        <v/>
      </c>
      <c r="H19" s="17">
        <f>A_GH*H71*H60</f>
        <v/>
      </c>
      <c r="I19" s="17">
        <f>A_GH*I71*I60</f>
        <v/>
      </c>
      <c r="J19" s="17">
        <f>A_GH*J71*J60</f>
        <v/>
      </c>
      <c r="K19" s="17">
        <f>A_GH*K71*K60</f>
        <v/>
      </c>
      <c r="L19" s="17">
        <f>A_GH*L71*L60</f>
        <v/>
      </c>
      <c r="M19" s="17">
        <f>A_GH*M71*M60</f>
        <v/>
      </c>
      <c r="N19" s="17">
        <f>A_GH*N71*N60</f>
        <v/>
      </c>
      <c r="O19" s="17">
        <f>A_GH*O71*O60</f>
        <v/>
      </c>
      <c r="P19" s="17">
        <f>A_GH*P71*P60</f>
        <v/>
      </c>
      <c r="Q19" s="17">
        <f>A_GH*Q71*Q60</f>
        <v/>
      </c>
    </row>
    <row r="20">
      <c r="A20" t="inlineStr">
        <is>
          <t>Benefits for staff added by growth</t>
        </is>
      </c>
      <c r="D20" s="17">
        <f>(D17-D36-D39)*K_BenLoad</f>
        <v/>
      </c>
      <c r="E20" s="17">
        <f>(E17-E36-E39)*K_BenLoad</f>
        <v/>
      </c>
      <c r="F20" s="17">
        <f>(F17-F36-F39)*K_BenLoad</f>
        <v/>
      </c>
      <c r="G20" s="17">
        <f>(G17-G36-G39)*K_BenLoad</f>
        <v/>
      </c>
      <c r="H20" s="17">
        <f>(H17-H36-H39)*K_BenLoad</f>
        <v/>
      </c>
      <c r="I20" s="17">
        <f>(I17-I36-I39)*K_BenLoad</f>
        <v/>
      </c>
      <c r="J20" s="17">
        <f>(J17-J36-J39)*K_BenLoad</f>
        <v/>
      </c>
      <c r="K20" s="17">
        <f>(K17-K36-K39)*K_BenLoad</f>
        <v/>
      </c>
      <c r="L20" s="17">
        <f>(L17-L36-L39)*K_BenLoad</f>
        <v/>
      </c>
      <c r="M20" s="17">
        <f>(M17-M36-M39)*K_BenLoad</f>
        <v/>
      </c>
      <c r="N20" s="17">
        <f>(N17-N36-N39)*K_BenLoad</f>
        <v/>
      </c>
      <c r="O20" s="17">
        <f>(O17-O36-O39)*K_BenLoad</f>
        <v/>
      </c>
      <c r="P20" s="17">
        <f>(P17-P36-P39)*K_BenLoad</f>
        <v/>
      </c>
      <c r="Q20" s="17">
        <f>(Q17-Q36-Q39)*K_BenLoad</f>
        <v/>
      </c>
    </row>
    <row r="21">
      <c r="A21" t="inlineStr">
        <is>
          <t>Pensions</t>
        </is>
      </c>
      <c r="D21" s="17">
        <f>A_Pen</f>
        <v/>
      </c>
      <c r="E21" s="17">
        <f>E69</f>
        <v/>
      </c>
      <c r="F21" s="17">
        <f>F69</f>
        <v/>
      </c>
      <c r="G21" s="17">
        <f>IF(AND(PensionSlip&gt;0,G$4&gt;=2030,G$4&lt;=2030+PensionSlip),PenNC30+PenSlipPay,G69)</f>
        <v/>
      </c>
      <c r="H21" s="17">
        <f>IF(AND(PensionSlip&gt;0,H$4&gt;=2030,H$4&lt;=2030+PensionSlip),H69+PenSlipPay,H69)</f>
        <v/>
      </c>
      <c r="I21" s="17">
        <f>IF(AND(PensionSlip&gt;0,I$4&gt;=2030,I$4&lt;=2030+PensionSlip),I69+PenSlipPay,I69)</f>
        <v/>
      </c>
      <c r="J21" s="17">
        <f>IF(AND(PensionSlip&gt;0,J$4&gt;=2030,J$4&lt;=2030+PensionSlip),J69+PenSlipPay,J69)</f>
        <v/>
      </c>
      <c r="K21" s="17">
        <f>IF(AND(PensionSlip&gt;0,K$4&gt;=2030,K$4&lt;=2030+PensionSlip),K69+PenSlipPay,K69)</f>
        <v/>
      </c>
      <c r="L21" s="17">
        <f>IF(AND(PensionSlip&gt;0,L$4&gt;=2030,L$4&lt;=2030+PensionSlip),L69+PenSlipPay,L69)</f>
        <v/>
      </c>
      <c r="M21" s="17">
        <f>IF(AND(PensionSlip&gt;0,M$4&gt;=2030,M$4&lt;=2030+PensionSlip),M69+PenSlipPay,M69)</f>
        <v/>
      </c>
      <c r="N21" s="17">
        <f>IF(AND(PensionSlip&gt;0,N$4&gt;=2030,N$4&lt;=2030+PensionSlip),N69+PenSlipPay,N69)</f>
        <v/>
      </c>
      <c r="O21" s="17">
        <f>IF(AND(PensionSlip&gt;0,O$4&gt;=2030,O$4&lt;=2030+PensionSlip),O69+PenSlipPay,O69)</f>
        <v/>
      </c>
      <c r="P21" s="17">
        <f>IF(AND(PensionSlip&gt;0,P$4&gt;=2030,P$4&lt;=2030+PensionSlip),P69+PenSlipPay,P69)</f>
        <v/>
      </c>
      <c r="Q21" s="17">
        <f>IF(AND(PensionSlip&gt;0,Q$4&gt;=2030,Q$4&lt;=2030+PensionSlip),Q69+PenSlipPay,Q69)</f>
        <v/>
      </c>
    </row>
    <row r="22">
      <c r="A22" t="inlineStr">
        <is>
          <t>Retiree health (OPEB)</t>
        </is>
      </c>
      <c r="D22" s="17">
        <f>A_OPEB</f>
        <v/>
      </c>
      <c r="E22" s="17">
        <f>IF(AND(OpebHold=1,Redirect=1),E85,E86)</f>
        <v/>
      </c>
      <c r="F22" s="17">
        <f>IF(AND(OpebHold=1,Redirect=1),F85,F86)</f>
        <v/>
      </c>
      <c r="G22" s="17">
        <f>IF(AND(OpebHold=1,Redirect=1),G85,G86)</f>
        <v/>
      </c>
      <c r="H22" s="17">
        <f>IF(AND(OpebHold=1,Redirect=1),H85,H86)</f>
        <v/>
      </c>
      <c r="I22" s="17">
        <f>IF(AND(OpebHold=1,Redirect=1),I85,I86)</f>
        <v/>
      </c>
      <c r="J22" s="17">
        <f>IF(AND(OpebHold=1,Redirect=1),J85,J86)</f>
        <v/>
      </c>
      <c r="K22" s="17">
        <f>IF(AND(OpebHold=1,Redirect=1),K85,K86)</f>
        <v/>
      </c>
      <c r="L22" s="17">
        <f>IF(AND(OpebHold=1,Redirect=1),L85,L86)</f>
        <v/>
      </c>
      <c r="M22" s="17">
        <f>IF(AND(OpebHold=1,Redirect=1),M85,M86)</f>
        <v/>
      </c>
      <c r="N22" s="17">
        <f>IF(AND(OpebHold=1,Redirect=1),N85,N86)</f>
        <v/>
      </c>
      <c r="O22" s="17">
        <f>IF(AND(OpebHold=1,Redirect=1),O85,O86)</f>
        <v/>
      </c>
      <c r="P22" s="17">
        <f>IF(AND(OpebHold=1,Redirect=1),P85,P86)</f>
        <v/>
      </c>
      <c r="Q22" s="17">
        <f>IF(AND(OpebHold=1,Redirect=1),Q85,Q86)</f>
        <v/>
      </c>
    </row>
    <row r="23">
      <c r="A23" t="inlineStr">
        <is>
          <t>Other benefits</t>
        </is>
      </c>
      <c r="D23" s="17">
        <f>A_OB</f>
        <v/>
      </c>
      <c r="E23" s="17">
        <f>Data!E28</f>
        <v/>
      </c>
      <c r="F23" s="17">
        <f>Data!F28</f>
        <v/>
      </c>
      <c r="G23" s="17">
        <f>Data!G28</f>
        <v/>
      </c>
      <c r="H23" s="17">
        <f>Data!H28</f>
        <v/>
      </c>
      <c r="I23" s="17">
        <f>Data!$H$28*I68/$H$68</f>
        <v/>
      </c>
      <c r="J23" s="17">
        <f>Data!$H$28*J68/$H$68</f>
        <v/>
      </c>
      <c r="K23" s="17">
        <f>Data!$H$28*K68/$H$68</f>
        <v/>
      </c>
      <c r="L23" s="17">
        <f>Data!$H$28*L68/$H$68</f>
        <v/>
      </c>
      <c r="M23" s="17">
        <f>Data!$H$28*M68/$H$68</f>
        <v/>
      </c>
      <c r="N23" s="17">
        <f>Data!$H$28*N68/$H$68</f>
        <v/>
      </c>
      <c r="O23" s="17">
        <f>Data!$H$28*O68/$H$68</f>
        <v/>
      </c>
      <c r="P23" s="17">
        <f>Data!$H$28*P68/$H$68</f>
        <v/>
      </c>
      <c r="Q23" s="17">
        <f>Data!$H$28*Q68/$H$68</f>
        <v/>
      </c>
    </row>
    <row r="24">
      <c r="A24" t="inlineStr">
        <is>
          <t>Debt within the levy</t>
        </is>
      </c>
      <c r="D24" s="17">
        <f>A_Debt</f>
        <v/>
      </c>
      <c r="E24" s="17">
        <f>Data!E29</f>
        <v/>
      </c>
      <c r="F24" s="17">
        <f>Data!F29</f>
        <v/>
      </c>
      <c r="G24" s="17">
        <f>Data!G29</f>
        <v/>
      </c>
      <c r="H24" s="17">
        <f>Data!H29</f>
        <v/>
      </c>
      <c r="I24" s="17">
        <f>Data!I29</f>
        <v/>
      </c>
      <c r="J24" s="17">
        <f>Data!$I$29*(1+K_DebtGrowth)^(J$4-2032)</f>
        <v/>
      </c>
      <c r="K24" s="17">
        <f>Data!$I$29*(1+K_DebtGrowth)^(K$4-2032)</f>
        <v/>
      </c>
      <c r="L24" s="17">
        <f>Data!$I$29*(1+K_DebtGrowth)^(L$4-2032)</f>
        <v/>
      </c>
      <c r="M24" s="17">
        <f>Data!$I$29*(1+K_DebtGrowth)^(M$4-2032)</f>
        <v/>
      </c>
      <c r="N24" s="17">
        <f>Data!$I$29*(1+K_DebtGrowth)^(N$4-2032)</f>
        <v/>
      </c>
      <c r="O24" s="17">
        <f>Data!$I$29*(1+K_DebtGrowth)^(O$4-2032)</f>
        <v/>
      </c>
      <c r="P24" s="17">
        <f>Data!$I$29*(1+K_DebtGrowth)^(P$4-2032)</f>
        <v/>
      </c>
      <c r="Q24" s="17">
        <f>Data!$I$29*(1+K_DebtGrowth)^(Q$4-2032)</f>
        <v/>
      </c>
    </row>
    <row r="25">
      <c r="A25" t="inlineStr">
        <is>
          <t>Capital, reserves and other</t>
        </is>
      </c>
      <c r="D25" s="17">
        <f>A_Other</f>
        <v/>
      </c>
      <c r="E25" s="17">
        <f>Data!E30+IF(CapFull=1,MAX(K_CIP*D79-E24-Data!E31,0),0)+K_Reserve*D79-Data!E32+E77-(Data!E34+K_FCDeposit*Data!E33+K_FCReserve*D79)</f>
        <v/>
      </c>
      <c r="F25" s="17">
        <f>Data!F30+IF(CapFull=1,MAX(K_CIP*E79-F24-Data!F31,0),0)+K_Reserve*E79-Data!F32+F77-(Data!F34+K_FCDeposit*Data!F33+K_FCReserve*E79)</f>
        <v/>
      </c>
      <c r="G25" s="17">
        <f>Data!G30+IF(CapFull=1,MAX(K_CIP*F79-G24-Data!G31,0),0)+K_Reserve*F79-Data!G32+G77-(Data!G34+K_FCDeposit*Data!G33+K_FCReserve*F79)</f>
        <v/>
      </c>
      <c r="H25" s="17">
        <f>Data!H30+IF(CapFull=1,MAX(K_CIP*G79-H24-Data!H31,0),0)+K_Reserve*G79-Data!H32+H77-(Data!H34+K_FCDeposit*Data!H33+K_FCReserve*G79)</f>
        <v/>
      </c>
      <c r="I25" s="17">
        <f>Data!I30+IF(CapFull=1,MAX(K_CIP*H79-I24-Data!I31,0),0)+K_Reserve*H79-Data!H32+K_GenFY31*(H79/$G$79-1)+K_NonAppFY31*((1+K_NonAppG)^(I$4-2031)-1)+I77-(Data!I34+K_FCDeposit*K_GenFY31*H79/$G$79+K_FCReserve*H79)</f>
        <v/>
      </c>
      <c r="J25" s="17">
        <f>Data!J30+IF(CapFull=1,MAX(K_CIP*I79-J24-Data!J31,0),0)+K_Reserve*I79-Data!H32+K_GenFY31*(I79/$G$79-1)+K_NonAppFY31*((1+K_NonAppG)^(J$4-2031)-1)+J77-(Data!J34+K_FCDeposit*K_GenFY31*I79/$G$79+K_FCReserve*I79)</f>
        <v/>
      </c>
      <c r="K25" s="17">
        <f>Data!K30+IF(CapFull=1,MAX(K_CIP*J79-K24-Data!K31,0),0)+K_Reserve*J79-Data!H32+K_GenFY31*(J79/$G$79-1)+K_NonAppFY31*((1+K_NonAppG)^(K$4-2031)-1)+K77-(Data!K34+K_FCDeposit*K_GenFY31*J79/$G$79+K_FCReserve*J79)</f>
        <v/>
      </c>
      <c r="L25" s="17">
        <f>Data!L30+IF(CapFull=1,MAX(K_CIP*K79-L24-Data!L31,0),0)+K_Reserve*K79-Data!H32+K_GenFY31*(K79/$G$79-1)+K_NonAppFY31*((1+K_NonAppG)^(L$4-2031)-1)+L77-(Data!L34+K_FCDeposit*K_GenFY31*K79/$G$79+K_FCReserve*K79)</f>
        <v/>
      </c>
      <c r="M25" s="17">
        <f>Data!M30+IF(CapFull=1,MAX(K_CIP*L79-M24-Data!M31,0),0)+K_Reserve*L79-Data!H32+K_GenFY31*(L79/$G$79-1)+K_NonAppFY31*((1+K_NonAppG)^(M$4-2031)-1)+M77-(Data!M34+K_FCDeposit*K_GenFY31*L79/$G$79+K_FCReserve*L79)</f>
        <v/>
      </c>
      <c r="N25" s="17">
        <f>Data!N30+IF(CapFull=1,MAX(K_CIP*M79-N24-Data!N31,0),0)+K_Reserve*M79-Data!H32+K_GenFY31*(M79/$G$79-1)+K_NonAppFY31*((1+K_NonAppG)^(N$4-2031)-1)+N77-(Data!N34+K_FCDeposit*K_GenFY31*M79/$G$79+K_FCReserve*M79)</f>
        <v/>
      </c>
      <c r="O25" s="17">
        <f>Data!O30+IF(CapFull=1,MAX(K_CIP*N79-O24-Data!O31,0),0)+K_Reserve*N79-Data!H32+K_GenFY31*(N79/$G$79-1)+K_NonAppFY31*((1+K_NonAppG)^(O$4-2031)-1)+O77-(Data!O34+K_FCDeposit*K_GenFY31*N79/$G$79+K_FCReserve*N79)</f>
        <v/>
      </c>
      <c r="P25" s="17">
        <f>Data!P30+IF(CapFull=1,MAX(K_CIP*O79-P24-Data!P31,0),0)+K_Reserve*O79-Data!H32+K_GenFY31*(O79/$G$79-1)+K_NonAppFY31*((1+K_NonAppG)^(P$4-2031)-1)+P77-(Data!P34+K_FCDeposit*K_GenFY31*O79/$G$79+K_FCReserve*O79)</f>
        <v/>
      </c>
      <c r="Q25" s="17">
        <f>Data!Q30+IF(CapFull=1,MAX(K_CIP*P79-Q24-Data!Q31,0),0)+K_Reserve*P79-Data!H32+K_GenFY31*(P79/$G$79-1)+K_NonAppFY31*((1+K_NonAppG)^(Q$4-2031)-1)+Q77-(Data!Q34+K_FCDeposit*K_GenFY31*P79/$G$79+K_FCReserve*P79)</f>
        <v/>
      </c>
    </row>
    <row r="26">
      <c r="A26" s="27" t="inlineStr">
        <is>
          <t>Total spending</t>
        </is>
      </c>
      <c r="B26" s="27" t="n"/>
      <c r="C26" s="27" t="n"/>
      <c r="D26" s="29">
        <f>D16+D17+D18+D19+D20+D21+D22+D23+D24+D25</f>
        <v/>
      </c>
      <c r="E26" s="29">
        <f>E16+E17+E18+E19+E20+E21+E22+E23+E24+E25</f>
        <v/>
      </c>
      <c r="F26" s="29">
        <f>F16+F17+F18+F19+F20+F21+F22+F23+F24+F25</f>
        <v/>
      </c>
      <c r="G26" s="29">
        <f>G16+G17+G18+G19+G20+G21+G22+G23+G24+G25</f>
        <v/>
      </c>
      <c r="H26" s="29">
        <f>H16+H17+H18+H19+H20+H21+H22+H23+H24+H25</f>
        <v/>
      </c>
      <c r="I26" s="29">
        <f>I16+I17+I18+I19+I20+I21+I22+I23+I24+I25</f>
        <v/>
      </c>
      <c r="J26" s="29">
        <f>J16+J17+J18+J19+J20+J21+J22+J23+J24+J25</f>
        <v/>
      </c>
      <c r="K26" s="29">
        <f>K16+K17+K18+K19+K20+K21+K22+K23+K24+K25</f>
        <v/>
      </c>
      <c r="L26" s="29">
        <f>L16+L17+L18+L19+L20+L21+L22+L23+L24+L25</f>
        <v/>
      </c>
      <c r="M26" s="29">
        <f>M16+M17+M18+M19+M20+M21+M22+M23+M24+M25</f>
        <v/>
      </c>
      <c r="N26" s="29">
        <f>N16+N17+N18+N19+N20+N21+N22+N23+N24+N25</f>
        <v/>
      </c>
      <c r="O26" s="29">
        <f>O16+O17+O18+O19+O20+O21+O22+O23+O24+O25</f>
        <v/>
      </c>
      <c r="P26" s="29">
        <f>P16+P17+P18+P19+P20+P21+P22+P23+P24+P25</f>
        <v/>
      </c>
      <c r="Q26" s="29">
        <f>Q16+Q17+Q18+Q19+Q20+Q21+Q22+Q23+Q24+Q25</f>
        <v/>
      </c>
    </row>
    <row r="28">
      <c r="A28" s="2" t="inlineStr"/>
    </row>
    <row r="29">
      <c r="A29" s="30" t="inlineStr">
        <is>
          <t>Room: revenue minus spending</t>
        </is>
      </c>
      <c r="B29" s="30" t="n"/>
      <c r="C29" s="30" t="n"/>
      <c r="D29" s="31">
        <f>D13-D26</f>
        <v/>
      </c>
      <c r="E29" s="31">
        <f>E13-E26</f>
        <v/>
      </c>
      <c r="F29" s="31">
        <f>F13-F26</f>
        <v/>
      </c>
      <c r="G29" s="31">
        <f>G13-G26</f>
        <v/>
      </c>
      <c r="H29" s="31">
        <f>H13-H26</f>
        <v/>
      </c>
      <c r="I29" s="31">
        <f>I13-I26</f>
        <v/>
      </c>
      <c r="J29" s="31">
        <f>J13-J26</f>
        <v/>
      </c>
      <c r="K29" s="31">
        <f>K13-K26</f>
        <v/>
      </c>
      <c r="L29" s="31">
        <f>L13-L26</f>
        <v/>
      </c>
      <c r="M29" s="31">
        <f>M13-M26</f>
        <v/>
      </c>
      <c r="N29" s="31">
        <f>N13-N26</f>
        <v/>
      </c>
      <c r="O29" s="31">
        <f>O13-O26</f>
        <v/>
      </c>
      <c r="P29" s="31">
        <f>P13-P26</f>
        <v/>
      </c>
      <c r="Q29" s="31">
        <f>Q13-Q26</f>
        <v/>
      </c>
    </row>
    <row r="31">
      <c r="A31" s="2" t="inlineStr">
        <is>
          <t>Context</t>
        </is>
      </c>
    </row>
    <row r="32">
      <c r="A32" t="inlineStr">
        <is>
          <t>School enrollment served</t>
        </is>
      </c>
      <c r="C32" s="32">
        <f>C61+C62</f>
        <v/>
      </c>
      <c r="D32" s="32">
        <f>D61+D62</f>
        <v/>
      </c>
      <c r="E32" s="32">
        <f>E61+E62</f>
        <v/>
      </c>
      <c r="F32" s="32">
        <f>F61+F62</f>
        <v/>
      </c>
      <c r="G32" s="32">
        <f>G61+G62</f>
        <v/>
      </c>
      <c r="H32" s="32">
        <f>H61+H62</f>
        <v/>
      </c>
      <c r="I32" s="32">
        <f>I61+I62</f>
        <v/>
      </c>
      <c r="J32" s="32">
        <f>J61+J62</f>
        <v/>
      </c>
      <c r="K32" s="32">
        <f>K61+K62</f>
        <v/>
      </c>
      <c r="L32" s="32">
        <f>L61+L62</f>
        <v/>
      </c>
      <c r="M32" s="32">
        <f>M61+M62</f>
        <v/>
      </c>
      <c r="N32" s="32">
        <f>N61+N62</f>
        <v/>
      </c>
      <c r="O32" s="32">
        <f>O61+O62</f>
        <v/>
      </c>
      <c r="P32" s="32">
        <f>P61+P62</f>
        <v/>
      </c>
      <c r="Q32" s="32">
        <f>Q61+Q62</f>
        <v/>
      </c>
    </row>
    <row r="33">
      <c r="A33" t="inlineStr">
        <is>
          <t>School staff</t>
        </is>
      </c>
      <c r="C33" s="33">
        <f>Staff27*(1-K_V)+K_V*C65</f>
        <v/>
      </c>
      <c r="D33" s="33">
        <f>Staff27*(1-K_V)+K_V*D65</f>
        <v/>
      </c>
      <c r="E33" s="33">
        <f>Staff27*(1-K_V)+K_V*E65</f>
        <v/>
      </c>
      <c r="F33" s="33">
        <f>Staff27*(1-K_V)+K_V*F65</f>
        <v/>
      </c>
      <c r="G33" s="33">
        <f>Staff27*(1-K_V)+K_V*G65</f>
        <v/>
      </c>
      <c r="H33" s="33">
        <f>Staff27*(1-K_V)+K_V*H65</f>
        <v/>
      </c>
      <c r="I33" s="33">
        <f>Staff27*(1-K_V)+K_V*I65</f>
        <v/>
      </c>
      <c r="J33" s="33">
        <f>Staff27*(1-K_V)+K_V*J65</f>
        <v/>
      </c>
      <c r="K33" s="33">
        <f>Staff27*(1-K_V)+K_V*K65</f>
        <v/>
      </c>
      <c r="L33" s="33">
        <f>Staff27*(1-K_V)+K_V*L65</f>
        <v/>
      </c>
      <c r="M33" s="33">
        <f>Staff27*(1-K_V)+K_V*M65</f>
        <v/>
      </c>
      <c r="N33" s="33">
        <f>Staff27*(1-K_V)+K_V*N65</f>
        <v/>
      </c>
      <c r="O33" s="33">
        <f>Staff27*(1-K_V)+K_V*O65</f>
        <v/>
      </c>
      <c r="P33" s="33">
        <f>Staff27*(1-K_V)+K_V*P65</f>
        <v/>
      </c>
      <c r="Q33" s="33">
        <f>Staff27*(1-K_V)+K_V*Q65</f>
        <v/>
      </c>
    </row>
    <row r="34">
      <c r="A34" t="inlineStr">
        <is>
          <t>Added homes since FY2027, including Chestnut Hill</t>
        </is>
      </c>
      <c r="D34" s="32">
        <f>D51+K_ChcaUnits*D54</f>
        <v/>
      </c>
      <c r="E34" s="32">
        <f>E51+K_ChcaUnits*E54</f>
        <v/>
      </c>
      <c r="F34" s="32">
        <f>F51+K_ChcaUnits*F54</f>
        <v/>
      </c>
      <c r="G34" s="32">
        <f>G51+K_ChcaUnits*G54</f>
        <v/>
      </c>
      <c r="H34" s="32">
        <f>H51+K_ChcaUnits*H54</f>
        <v/>
      </c>
      <c r="I34" s="32">
        <f>I51+K_ChcaUnits*I54</f>
        <v/>
      </c>
      <c r="J34" s="32">
        <f>J51+K_ChcaUnits*J54</f>
        <v/>
      </c>
      <c r="K34" s="32">
        <f>K51+K_ChcaUnits*K54</f>
        <v/>
      </c>
      <c r="L34" s="32">
        <f>L51+K_ChcaUnits*L54</f>
        <v/>
      </c>
      <c r="M34" s="32">
        <f>M51+K_ChcaUnits*M54</f>
        <v/>
      </c>
      <c r="N34" s="32">
        <f>N51+K_ChcaUnits*N54</f>
        <v/>
      </c>
      <c r="O34" s="32">
        <f>O51+K_ChcaUnits*O54</f>
        <v/>
      </c>
      <c r="P34" s="32">
        <f>P51+K_ChcaUnits*P54</f>
        <v/>
      </c>
      <c r="Q34" s="32">
        <f>Q51+K_ChcaUnits*Q54</f>
        <v/>
      </c>
    </row>
    <row r="35">
      <c r="A35" t="inlineStr">
        <is>
          <t>Homes in town, including Chestnut Hill</t>
        </is>
      </c>
      <c r="C35" s="32">
        <f>K_Homes25+SUM($C42:C42)+K_ChcaUnits*C54</f>
        <v/>
      </c>
      <c r="D35" s="32">
        <f>K_Homes25+SUM($C42:D42)+K_ChcaUnits*D54</f>
        <v/>
      </c>
      <c r="E35" s="32">
        <f>K_Homes25+SUM($C42:E42)+K_ChcaUnits*E54</f>
        <v/>
      </c>
      <c r="F35" s="32">
        <f>K_Homes25+SUM($C42:F42)+K_ChcaUnits*F54</f>
        <v/>
      </c>
      <c r="G35" s="32">
        <f>K_Homes25+SUM($C42:G42)+K_ChcaUnits*G54</f>
        <v/>
      </c>
      <c r="H35" s="32">
        <f>K_Homes25+SUM($C42:H42)+K_ChcaUnits*H54</f>
        <v/>
      </c>
      <c r="I35" s="32">
        <f>K_Homes25+SUM($C42:I42)+K_ChcaUnits*I54</f>
        <v/>
      </c>
      <c r="J35" s="32">
        <f>K_Homes25+SUM($C42:J42)+K_ChcaUnits*J54</f>
        <v/>
      </c>
      <c r="K35" s="32">
        <f>K_Homes25+SUM($C42:K42)+K_ChcaUnits*K54</f>
        <v/>
      </c>
      <c r="L35" s="32">
        <f>K_Homes25+SUM($C42:L42)+K_ChcaUnits*L54</f>
        <v/>
      </c>
      <c r="M35" s="32">
        <f>K_Homes25+SUM($C42:M42)+K_ChcaUnits*M54</f>
        <v/>
      </c>
      <c r="N35" s="32">
        <f>K_Homes25+SUM($C42:N42)+K_ChcaUnits*N54</f>
        <v/>
      </c>
      <c r="O35" s="32">
        <f>K_Homes25+SUM($C42:O42)+K_ChcaUnits*O54</f>
        <v/>
      </c>
      <c r="P35" s="32">
        <f>K_Homes25+SUM($C42:P42)+K_ChcaUnits*P54</f>
        <v/>
      </c>
      <c r="Q35" s="32">
        <f>K_Homes25+SUM($C42:Q42)+K_ChcaUnits*Q54</f>
        <v/>
      </c>
    </row>
    <row r="36">
      <c r="A36" t="inlineStr">
        <is>
          <t>Fire company (included in Town services for growth)</t>
        </is>
      </c>
      <c r="D36" s="17">
        <f>0</f>
        <v/>
      </c>
      <c r="E36" s="17">
        <f>IF(AND(FireStep=1,E35&gt;=K_FireHomes),K_FireCost*PSPayToFY27*E56,0)</f>
        <v/>
      </c>
      <c r="F36" s="17">
        <f>IF(AND(FireStep=1,F35&gt;=K_FireHomes),K_FireCost*PSPayToFY27*F56,0)</f>
        <v/>
      </c>
      <c r="G36" s="17">
        <f>IF(AND(FireStep=1,G35&gt;=K_FireHomes),K_FireCost*PSPayToFY27*G56,0)</f>
        <v/>
      </c>
      <c r="H36" s="17">
        <f>IF(AND(FireStep=1,H35&gt;=K_FireHomes),K_FireCost*PSPayToFY27*H56,0)</f>
        <v/>
      </c>
      <c r="I36" s="17">
        <f>IF(AND(FireStep=1,I35&gt;=K_FireHomes),K_FireCost*PSPayToFY27*I56,0)</f>
        <v/>
      </c>
      <c r="J36" s="17">
        <f>IF(AND(FireStep=1,J35&gt;=K_FireHomes),K_FireCost*PSPayToFY27*J56,0)</f>
        <v/>
      </c>
      <c r="K36" s="17">
        <f>IF(AND(FireStep=1,K35&gt;=K_FireHomes),K_FireCost*PSPayToFY27*K56,0)</f>
        <v/>
      </c>
      <c r="L36" s="17">
        <f>IF(AND(FireStep=1,L35&gt;=K_FireHomes),K_FireCost*PSPayToFY27*L56,0)</f>
        <v/>
      </c>
      <c r="M36" s="17">
        <f>IF(AND(FireStep=1,M35&gt;=K_FireHomes),K_FireCost*PSPayToFY27*M56,0)</f>
        <v/>
      </c>
      <c r="N36" s="17">
        <f>IF(AND(FireStep=1,N35&gt;=K_FireHomes),K_FireCost*PSPayToFY27*N56,0)</f>
        <v/>
      </c>
      <c r="O36" s="17">
        <f>IF(AND(FireStep=1,O35&gt;=K_FireHomes),K_FireCost*PSPayToFY27*O56,0)</f>
        <v/>
      </c>
      <c r="P36" s="17">
        <f>IF(AND(FireStep=1,P35&gt;=K_FireHomes),K_FireCost*PSPayToFY27*P56,0)</f>
        <v/>
      </c>
      <c r="Q36" s="17">
        <f>IF(AND(FireStep=1,Q35&gt;=K_FireHomes),K_FireCost*PSPayToFY27*Q56,0)</f>
        <v/>
      </c>
    </row>
    <row r="37">
      <c r="A37" t="inlineStr">
        <is>
          <t>Police and fire: restored staffing if chosen, and commitments already agreed (in today's services)</t>
        </is>
      </c>
      <c r="D37" s="17">
        <f>0</f>
        <v/>
      </c>
      <c r="E37" s="17">
        <f>PSRestore*K_PSRestoreN*K_PSPos*PSPayToFY27*E56+K_FireSteps*E56/$E$56+(1-PSRestore)*K_PolRefill28*K_PSPos*PSPayToFY27*E56</f>
        <v/>
      </c>
      <c r="F37" s="17">
        <f>PSRestore*K_PSRestoreN*K_PSPos*PSPayToFY27*F56+K_FireSteps*F56/$E$56+(1-PSRestore)*K_PolRefill29*K_PSPos*PSPayToFY27*F56</f>
        <v/>
      </c>
      <c r="G37" s="17">
        <f>PSRestore*K_PSRestoreN*K_PSPos*PSPayToFY27*G56+K_FireSteps*G56/$E$56+(1-PSRestore)*K_PolRefill29*K_PSPos*PSPayToFY27*G56</f>
        <v/>
      </c>
      <c r="H37" s="17">
        <f>PSRestore*K_PSRestoreN*K_PSPos*PSPayToFY27*H56+K_FireSteps*H56/$E$56+(1-PSRestore)*K_PolRefill29*K_PSPos*PSPayToFY27*H56</f>
        <v/>
      </c>
      <c r="I37" s="17">
        <f>PSRestore*K_PSRestoreN*K_PSPos*PSPayToFY27*I56+K_FireSteps*I56/$E$56+(1-PSRestore)*K_PolRefill29*K_PSPos*PSPayToFY27*I56</f>
        <v/>
      </c>
      <c r="J37" s="17">
        <f>PSRestore*K_PSRestoreN*K_PSPos*PSPayToFY27*J56+K_FireSteps*J56/$E$56+(1-PSRestore)*K_PolRefill29*K_PSPos*PSPayToFY27*J56</f>
        <v/>
      </c>
      <c r="K37" s="17">
        <f>PSRestore*K_PSRestoreN*K_PSPos*PSPayToFY27*K56+K_FireSteps*K56/$E$56+(1-PSRestore)*K_PolRefill29*K_PSPos*PSPayToFY27*K56</f>
        <v/>
      </c>
      <c r="L37" s="17">
        <f>PSRestore*K_PSRestoreN*K_PSPos*PSPayToFY27*L56+K_FireSteps*L56/$E$56+(1-PSRestore)*K_PolRefill29*K_PSPos*PSPayToFY27*L56</f>
        <v/>
      </c>
      <c r="M37" s="17">
        <f>PSRestore*K_PSRestoreN*K_PSPos*PSPayToFY27*M56+K_FireSteps*M56/$E$56+(1-PSRestore)*K_PolRefill29*K_PSPos*PSPayToFY27*M56</f>
        <v/>
      </c>
      <c r="N37" s="17">
        <f>PSRestore*K_PSRestoreN*K_PSPos*PSPayToFY27*N56+K_FireSteps*N56/$E$56+(1-PSRestore)*K_PolRefill29*K_PSPos*PSPayToFY27*N56</f>
        <v/>
      </c>
      <c r="O37" s="17">
        <f>PSRestore*K_PSRestoreN*K_PSPos*PSPayToFY27*O56+K_FireSteps*O56/$E$56+(1-PSRestore)*K_PolRefill29*K_PSPos*PSPayToFY27*O56</f>
        <v/>
      </c>
      <c r="P37" s="17">
        <f>PSRestore*K_PSRestoreN*K_PSPos*PSPayToFY27*P56+K_FireSteps*P56/$E$56+(1-PSRestore)*K_PolRefill29*K_PSPos*PSPayToFY27*P56</f>
        <v/>
      </c>
      <c r="Q37" s="17">
        <f>PSRestore*K_PSRestoreN*K_PSPos*PSPayToFY27*Q56+K_FireSteps*Q56/$E$56+(1-PSRestore)*K_PolRefill29*K_PSPos*PSPayToFY27*Q56</f>
        <v/>
      </c>
    </row>
    <row r="38">
      <c r="A38" t="inlineStr">
        <is>
          <t>Police officers added to hold the peer ratio</t>
        </is>
      </c>
      <c r="D38" s="32">
        <f>0</f>
        <v/>
      </c>
      <c r="E38" s="32">
        <f>IF(PoliceStep=1,MAX(INT(E35*K_PolRatio/1000+1E-9)-K_PolBudget-K_PolRefill28,0),0)</f>
        <v/>
      </c>
      <c r="F38" s="32">
        <f>IF(PoliceStep=1,MAX(INT(F35*K_PolRatio/1000+1E-9)-K_PolBudget-K_PolRefill29,0),0)</f>
        <v/>
      </c>
      <c r="G38" s="32">
        <f>IF(PoliceStep=1,MAX(INT(G35*K_PolRatio/1000+1E-9)-K_PolBudget-K_PolRefill29,0),0)</f>
        <v/>
      </c>
      <c r="H38" s="32">
        <f>IF(PoliceStep=1,MAX(INT(H35*K_PolRatio/1000+1E-9)-K_PolBudget-K_PolRefill29,0),0)</f>
        <v/>
      </c>
      <c r="I38" s="32">
        <f>IF(PoliceStep=1,MAX(INT(I35*K_PolRatio/1000+1E-9)-K_PolBudget-K_PolRefill29,0),0)</f>
        <v/>
      </c>
      <c r="J38" s="32">
        <f>IF(PoliceStep=1,MAX(INT(J35*K_PolRatio/1000+1E-9)-K_PolBudget-K_PolRefill29,0),0)</f>
        <v/>
      </c>
      <c r="K38" s="32">
        <f>IF(PoliceStep=1,MAX(INT(K35*K_PolRatio/1000+1E-9)-K_PolBudget-K_PolRefill29,0),0)</f>
        <v/>
      </c>
      <c r="L38" s="32">
        <f>IF(PoliceStep=1,MAX(INT(L35*K_PolRatio/1000+1E-9)-K_PolBudget-K_PolRefill29,0),0)</f>
        <v/>
      </c>
      <c r="M38" s="32">
        <f>IF(PoliceStep=1,MAX(INT(M35*K_PolRatio/1000+1E-9)-K_PolBudget-K_PolRefill29,0),0)</f>
        <v/>
      </c>
      <c r="N38" s="32">
        <f>IF(PoliceStep=1,MAX(INT(N35*K_PolRatio/1000+1E-9)-K_PolBudget-K_PolRefill29,0),0)</f>
        <v/>
      </c>
      <c r="O38" s="32">
        <f>IF(PoliceStep=1,MAX(INT(O35*K_PolRatio/1000+1E-9)-K_PolBudget-K_PolRefill29,0),0)</f>
        <v/>
      </c>
      <c r="P38" s="32">
        <f>IF(PoliceStep=1,MAX(INT(P35*K_PolRatio/1000+1E-9)-K_PolBudget-K_PolRefill29,0),0)</f>
        <v/>
      </c>
      <c r="Q38" s="32">
        <f>IF(PoliceStep=1,MAX(INT(Q35*K_PolRatio/1000+1E-9)-K_PolBudget-K_PolRefill29,0),0)</f>
        <v/>
      </c>
    </row>
    <row r="39">
      <c r="A39" t="inlineStr">
        <is>
          <t>Police added (included in Town services for growth)</t>
        </is>
      </c>
      <c r="D39" s="17">
        <f>D38*K_PSPos*PSPayToFY27*D56</f>
        <v/>
      </c>
      <c r="E39" s="17">
        <f>E38*K_PSPos*PSPayToFY27*E56</f>
        <v/>
      </c>
      <c r="F39" s="17">
        <f>F38*K_PSPos*PSPayToFY27*F56</f>
        <v/>
      </c>
      <c r="G39" s="17">
        <f>G38*K_PSPos*PSPayToFY27*G56</f>
        <v/>
      </c>
      <c r="H39" s="17">
        <f>H38*K_PSPos*PSPayToFY27*H56</f>
        <v/>
      </c>
      <c r="I39" s="17">
        <f>I38*K_PSPos*PSPayToFY27*I56</f>
        <v/>
      </c>
      <c r="J39" s="17">
        <f>J38*K_PSPos*PSPayToFY27*J56</f>
        <v/>
      </c>
      <c r="K39" s="17">
        <f>K38*K_PSPos*PSPayToFY27*K56</f>
        <v/>
      </c>
      <c r="L39" s="17">
        <f>L38*K_PSPos*PSPayToFY27*L56</f>
        <v/>
      </c>
      <c r="M39" s="17">
        <f>M38*K_PSPos*PSPayToFY27*M56</f>
        <v/>
      </c>
      <c r="N39" s="17">
        <f>N38*K_PSPos*PSPayToFY27*N56</f>
        <v/>
      </c>
      <c r="O39" s="17">
        <f>O38*K_PSPos*PSPayToFY27*O56</f>
        <v/>
      </c>
      <c r="P39" s="17">
        <f>P38*K_PSPos*PSPayToFY27*P56</f>
        <v/>
      </c>
      <c r="Q39" s="17">
        <f>Q38*K_PSPos*PSPayToFY27*Q56</f>
        <v/>
      </c>
    </row>
    <row r="41">
      <c r="A41" s="2" t="inlineStr">
        <is>
          <t>How the model works it out</t>
        </is>
      </c>
    </row>
    <row r="42">
      <c r="A42" t="inlineStr">
        <is>
          <t>Homes added that year (Revenue build)</t>
        </is>
      </c>
      <c r="C42" s="34">
        <f>ROUND('Revenue build'!C45,0)</f>
        <v/>
      </c>
      <c r="D42" s="34">
        <f>ROUND('Revenue build'!D45,0)</f>
        <v/>
      </c>
      <c r="E42" s="34">
        <f>ROUND('Revenue build'!E45,0)</f>
        <v/>
      </c>
      <c r="F42" s="34">
        <f>ROUND('Revenue build'!F45,0)</f>
        <v/>
      </c>
      <c r="G42" s="34">
        <f>ROUND('Revenue build'!G45,0)</f>
        <v/>
      </c>
      <c r="H42" s="34">
        <f>ROUND('Revenue build'!H45,0)</f>
        <v/>
      </c>
      <c r="I42" s="34">
        <f>ROUND('Revenue build'!I45,0)</f>
        <v/>
      </c>
      <c r="J42" s="34">
        <f>ROUND('Revenue build'!J45,0)</f>
        <v/>
      </c>
      <c r="K42" s="34">
        <f>ROUND('Revenue build'!K45,0)</f>
        <v/>
      </c>
      <c r="L42" s="34">
        <f>ROUND('Revenue build'!L45,0)</f>
        <v/>
      </c>
      <c r="M42" s="34">
        <f>ROUND('Revenue build'!M45,0)</f>
        <v/>
      </c>
      <c r="N42" s="34">
        <f>ROUND('Revenue build'!N45,0)</f>
        <v/>
      </c>
      <c r="O42" s="34">
        <f>ROUND('Revenue build'!O45,0)</f>
        <v/>
      </c>
      <c r="P42" s="34">
        <f>ROUND('Revenue build'!P45,0)</f>
        <v/>
      </c>
      <c r="Q42" s="34">
        <f>ROUND('Revenue build'!Q45,0)</f>
        <v/>
      </c>
    </row>
    <row r="43">
      <c r="A43" t="inlineStr">
        <is>
          <t>Homes added that year at the recent trend (Revenue build)</t>
        </is>
      </c>
      <c r="C43" s="34">
        <f>ROUND('Revenue build'!C66,0)</f>
        <v/>
      </c>
      <c r="D43" s="34">
        <f>ROUND('Revenue build'!D66,0)</f>
        <v/>
      </c>
      <c r="E43" s="34">
        <f>ROUND('Revenue build'!E66,0)</f>
        <v/>
      </c>
      <c r="F43" s="34">
        <f>ROUND('Revenue build'!F66,0)</f>
        <v/>
      </c>
      <c r="G43" s="34">
        <f>ROUND('Revenue build'!G66,0)</f>
        <v/>
      </c>
      <c r="H43" s="34">
        <f>ROUND('Revenue build'!H66,0)</f>
        <v/>
      </c>
      <c r="I43" s="34">
        <f>ROUND('Revenue build'!I66,0)</f>
        <v/>
      </c>
      <c r="J43" s="34">
        <f>ROUND('Revenue build'!J66,0)</f>
        <v/>
      </c>
      <c r="K43" s="34">
        <f>ROUND('Revenue build'!K66,0)</f>
        <v/>
      </c>
      <c r="L43" s="34">
        <f>ROUND('Revenue build'!L66,0)</f>
        <v/>
      </c>
      <c r="M43" s="34">
        <f>ROUND('Revenue build'!M66,0)</f>
        <v/>
      </c>
      <c r="N43" s="34">
        <f>ROUND('Revenue build'!N66,0)</f>
        <v/>
      </c>
      <c r="O43" s="34">
        <f>ROUND('Revenue build'!O66,0)</f>
        <v/>
      </c>
      <c r="P43" s="34">
        <f>ROUND('Revenue build'!P66,0)</f>
        <v/>
      </c>
      <c r="Q43" s="34">
        <f>ROUND('Revenue build'!Q66,0)</f>
        <v/>
      </c>
    </row>
    <row r="44">
      <c r="A44" t="inlineStr">
        <is>
          <t>Commercial square feet added that year (Revenue build)</t>
        </is>
      </c>
      <c r="C44" s="35">
        <f>ROUND('Revenue build'!C46,0)</f>
        <v/>
      </c>
      <c r="D44" s="35">
        <f>ROUND('Revenue build'!D46,0)</f>
        <v/>
      </c>
      <c r="E44" s="35">
        <f>ROUND('Revenue build'!E46,0)</f>
        <v/>
      </c>
      <c r="F44" s="35">
        <f>ROUND('Revenue build'!F46,0)</f>
        <v/>
      </c>
      <c r="G44" s="35">
        <f>ROUND('Revenue build'!G46,0)</f>
        <v/>
      </c>
      <c r="H44" s="35">
        <f>ROUND('Revenue build'!H46,0)</f>
        <v/>
      </c>
      <c r="I44" s="35">
        <f>ROUND('Revenue build'!I46,0)</f>
        <v/>
      </c>
      <c r="J44" s="35">
        <f>ROUND('Revenue build'!J46,0)</f>
        <v/>
      </c>
      <c r="K44" s="35">
        <f>ROUND('Revenue build'!K46,0)</f>
        <v/>
      </c>
      <c r="L44" s="35">
        <f>ROUND('Revenue build'!L46,0)</f>
        <v/>
      </c>
      <c r="M44" s="35">
        <f>ROUND('Revenue build'!M46,0)</f>
        <v/>
      </c>
      <c r="N44" s="35">
        <f>ROUND('Revenue build'!N46,0)</f>
        <v/>
      </c>
      <c r="O44" s="35">
        <f>ROUND('Revenue build'!O46,0)</f>
        <v/>
      </c>
      <c r="P44" s="35">
        <f>ROUND('Revenue build'!P46,0)</f>
        <v/>
      </c>
      <c r="Q44" s="35">
        <f>ROUND('Revenue build'!Q46,0)</f>
        <v/>
      </c>
    </row>
    <row r="45">
      <c r="A45" t="inlineStr">
        <is>
          <t>Real-estate new growth (Revenue build)</t>
        </is>
      </c>
      <c r="C45" s="36">
        <f>'Revenue build'!C47</f>
        <v/>
      </c>
      <c r="D45" s="36">
        <f>'Revenue build'!D47</f>
        <v/>
      </c>
      <c r="E45" s="36">
        <f>'Revenue build'!E47</f>
        <v/>
      </c>
      <c r="F45" s="36">
        <f>'Revenue build'!F47</f>
        <v/>
      </c>
      <c r="G45" s="36">
        <f>'Revenue build'!G47</f>
        <v/>
      </c>
      <c r="H45" s="36">
        <f>'Revenue build'!H47</f>
        <v/>
      </c>
      <c r="I45" s="36">
        <f>'Revenue build'!I47</f>
        <v/>
      </c>
      <c r="J45" s="36">
        <f>'Revenue build'!J47</f>
        <v/>
      </c>
      <c r="K45" s="36">
        <f>'Revenue build'!K47</f>
        <v/>
      </c>
      <c r="L45" s="36">
        <f>'Revenue build'!L47</f>
        <v/>
      </c>
      <c r="M45" s="36">
        <f>'Revenue build'!M47</f>
        <v/>
      </c>
      <c r="N45" s="36">
        <f>'Revenue build'!N47</f>
        <v/>
      </c>
      <c r="O45" s="36">
        <f>'Revenue build'!O47</f>
        <v/>
      </c>
      <c r="P45" s="36">
        <f>'Revenue build'!P47</f>
        <v/>
      </c>
      <c r="Q45" s="36">
        <f>'Revenue build'!Q47</f>
        <v/>
      </c>
    </row>
    <row r="46">
      <c r="A46" t="inlineStr">
        <is>
          <t>Real-estate new growth at the recent trend (Revenue build)</t>
        </is>
      </c>
      <c r="C46" s="36">
        <f>'Revenue build'!C67</f>
        <v/>
      </c>
      <c r="D46" s="36">
        <f>'Revenue build'!D67</f>
        <v/>
      </c>
      <c r="E46" s="36">
        <f>'Revenue build'!E67</f>
        <v/>
      </c>
      <c r="F46" s="36">
        <f>'Revenue build'!F67</f>
        <v/>
      </c>
      <c r="G46" s="36">
        <f>'Revenue build'!G67</f>
        <v/>
      </c>
      <c r="H46" s="36">
        <f>'Revenue build'!H67</f>
        <v/>
      </c>
      <c r="I46" s="36">
        <f>'Revenue build'!I67</f>
        <v/>
      </c>
      <c r="J46" s="36">
        <f>'Revenue build'!J67</f>
        <v/>
      </c>
      <c r="K46" s="36">
        <f>'Revenue build'!K67</f>
        <v/>
      </c>
      <c r="L46" s="36">
        <f>'Revenue build'!L67</f>
        <v/>
      </c>
      <c r="M46" s="36">
        <f>'Revenue build'!M67</f>
        <v/>
      </c>
      <c r="N46" s="36">
        <f>'Revenue build'!N67</f>
        <v/>
      </c>
      <c r="O46" s="36">
        <f>'Revenue build'!O67</f>
        <v/>
      </c>
      <c r="P46" s="36">
        <f>'Revenue build'!P67</f>
        <v/>
      </c>
      <c r="Q46" s="36">
        <f>'Revenue build'!Q67</f>
        <v/>
      </c>
    </row>
    <row r="47">
      <c r="A47" t="inlineStr">
        <is>
          <t>Property tax, all (Revenue build)</t>
        </is>
      </c>
      <c r="C47" s="36">
        <f>'Revenue build'!C38</f>
        <v/>
      </c>
      <c r="D47" s="36">
        <f>'Revenue build'!D38</f>
        <v/>
      </c>
      <c r="E47" s="36">
        <f>'Revenue build'!E38</f>
        <v/>
      </c>
      <c r="F47" s="36">
        <f>'Revenue build'!F38</f>
        <v/>
      </c>
      <c r="G47" s="36">
        <f>'Revenue build'!G38</f>
        <v/>
      </c>
      <c r="H47" s="36">
        <f>'Revenue build'!H38</f>
        <v/>
      </c>
      <c r="I47" s="36">
        <f>'Revenue build'!I38</f>
        <v/>
      </c>
      <c r="J47" s="36">
        <f>'Revenue build'!J38</f>
        <v/>
      </c>
      <c r="K47" s="36">
        <f>'Revenue build'!K38</f>
        <v/>
      </c>
      <c r="L47" s="36">
        <f>'Revenue build'!L38</f>
        <v/>
      </c>
      <c r="M47" s="36">
        <f>'Revenue build'!M38</f>
        <v/>
      </c>
      <c r="N47" s="36">
        <f>'Revenue build'!N38</f>
        <v/>
      </c>
      <c r="O47" s="36">
        <f>'Revenue build'!O38</f>
        <v/>
      </c>
      <c r="P47" s="36">
        <f>'Revenue build'!P38</f>
        <v/>
      </c>
      <c r="Q47" s="36">
        <f>'Revenue build'!Q38</f>
        <v/>
      </c>
    </row>
    <row r="48">
      <c r="A48" t="inlineStr">
        <is>
          <t>Debt exclusion tax (Revenue build)</t>
        </is>
      </c>
      <c r="C48" s="36">
        <f>'Revenue build'!C37</f>
        <v/>
      </c>
      <c r="D48" s="36">
        <f>'Revenue build'!D37</f>
        <v/>
      </c>
      <c r="E48" s="36">
        <f>'Revenue build'!E37</f>
        <v/>
      </c>
      <c r="F48" s="36">
        <f>'Revenue build'!F37</f>
        <v/>
      </c>
      <c r="G48" s="36">
        <f>'Revenue build'!G37</f>
        <v/>
      </c>
      <c r="H48" s="36">
        <f>'Revenue build'!H37</f>
        <v/>
      </c>
      <c r="I48" s="36">
        <f>'Revenue build'!I37</f>
        <v/>
      </c>
      <c r="J48" s="36">
        <f>'Revenue build'!J37</f>
        <v/>
      </c>
      <c r="K48" s="36">
        <f>'Revenue build'!K37</f>
        <v/>
      </c>
      <c r="L48" s="36">
        <f>'Revenue build'!L37</f>
        <v/>
      </c>
      <c r="M48" s="36">
        <f>'Revenue build'!M37</f>
        <v/>
      </c>
      <c r="N48" s="36">
        <f>'Revenue build'!N37</f>
        <v/>
      </c>
      <c r="O48" s="36">
        <f>'Revenue build'!O37</f>
        <v/>
      </c>
      <c r="P48" s="36">
        <f>'Revenue build'!P37</f>
        <v/>
      </c>
      <c r="Q48" s="36">
        <f>'Revenue build'!Q37</f>
        <v/>
      </c>
    </row>
    <row r="49">
      <c r="A49" t="inlineStr">
        <is>
          <t>Other available funds (Revenue build)</t>
        </is>
      </c>
      <c r="C49" s="36">
        <f>'Revenue build'!C59</f>
        <v/>
      </c>
      <c r="D49" s="36">
        <f>'Revenue build'!D59</f>
        <v/>
      </c>
      <c r="E49" s="36">
        <f>'Revenue build'!E59</f>
        <v/>
      </c>
      <c r="F49" s="36">
        <f>'Revenue build'!F59</f>
        <v/>
      </c>
      <c r="G49" s="36">
        <f>'Revenue build'!G59</f>
        <v/>
      </c>
      <c r="H49" s="36">
        <f>'Revenue build'!H59</f>
        <v/>
      </c>
      <c r="I49" s="36">
        <f>'Revenue build'!I59</f>
        <v/>
      </c>
      <c r="J49" s="36">
        <f>'Revenue build'!J59</f>
        <v/>
      </c>
      <c r="K49" s="36">
        <f>'Revenue build'!K59</f>
        <v/>
      </c>
      <c r="L49" s="36">
        <f>'Revenue build'!L59</f>
        <v/>
      </c>
      <c r="M49" s="36">
        <f>'Revenue build'!M59</f>
        <v/>
      </c>
      <c r="N49" s="36">
        <f>'Revenue build'!N59</f>
        <v/>
      </c>
      <c r="O49" s="36">
        <f>'Revenue build'!O59</f>
        <v/>
      </c>
      <c r="P49" s="36">
        <f>'Revenue build'!P59</f>
        <v/>
      </c>
      <c r="Q49" s="36">
        <f>'Revenue build'!Q59</f>
        <v/>
      </c>
    </row>
    <row r="50">
      <c r="A50" t="inlineStr">
        <is>
          <t>Local receipts tied to growth (Revenue build)</t>
        </is>
      </c>
      <c r="C50" s="36">
        <f>'Revenue build'!C56</f>
        <v/>
      </c>
      <c r="D50" s="36">
        <f>'Revenue build'!D56</f>
        <v/>
      </c>
      <c r="E50" s="36">
        <f>'Revenue build'!E56</f>
        <v/>
      </c>
      <c r="F50" s="36">
        <f>'Revenue build'!F56</f>
        <v/>
      </c>
      <c r="G50" s="36">
        <f>'Revenue build'!G56</f>
        <v/>
      </c>
      <c r="H50" s="36">
        <f>'Revenue build'!H56</f>
        <v/>
      </c>
      <c r="I50" s="36">
        <f>'Revenue build'!I56</f>
        <v/>
      </c>
      <c r="J50" s="36">
        <f>'Revenue build'!J56</f>
        <v/>
      </c>
      <c r="K50" s="36">
        <f>'Revenue build'!K56</f>
        <v/>
      </c>
      <c r="L50" s="36">
        <f>'Revenue build'!L56</f>
        <v/>
      </c>
      <c r="M50" s="36">
        <f>'Revenue build'!M56</f>
        <v/>
      </c>
      <c r="N50" s="36">
        <f>'Revenue build'!N56</f>
        <v/>
      </c>
      <c r="O50" s="36">
        <f>'Revenue build'!O56</f>
        <v/>
      </c>
      <c r="P50" s="36">
        <f>'Revenue build'!P56</f>
        <v/>
      </c>
      <c r="Q50" s="36">
        <f>'Revenue build'!Q56</f>
        <v/>
      </c>
    </row>
    <row r="51">
      <c r="A51" t="inlineStr">
        <is>
          <t>Homes added since FY2027</t>
        </is>
      </c>
      <c r="C51" s="37">
        <f>MAX(SUM($C42:C42)-SUM($C$42:$D$42),0)</f>
        <v/>
      </c>
      <c r="D51" s="37">
        <f>MAX(SUM($C42:D42)-SUM($C$42:$D$42),0)</f>
        <v/>
      </c>
      <c r="E51" s="37">
        <f>MAX(SUM($C42:E42)-SUM($C$42:$D$42),0)</f>
        <v/>
      </c>
      <c r="F51" s="37">
        <f>MAX(SUM($C42:F42)-SUM($C$42:$D$42),0)</f>
        <v/>
      </c>
      <c r="G51" s="37">
        <f>MAX(SUM($C42:G42)-SUM($C$42:$D$42),0)</f>
        <v/>
      </c>
      <c r="H51" s="37">
        <f>MAX(SUM($C42:H42)-SUM($C$42:$D$42),0)</f>
        <v/>
      </c>
      <c r="I51" s="37">
        <f>MAX(SUM($C42:I42)-SUM($C$42:$D$42),0)</f>
        <v/>
      </c>
      <c r="J51" s="37">
        <f>MAX(SUM($C42:J42)-SUM($C$42:$D$42),0)</f>
        <v/>
      </c>
      <c r="K51" s="37">
        <f>MAX(SUM($C42:K42)-SUM($C$42:$D$42),0)</f>
        <v/>
      </c>
      <c r="L51" s="37">
        <f>MAX(SUM($C42:L42)-SUM($C$42:$D$42),0)</f>
        <v/>
      </c>
      <c r="M51" s="37">
        <f>MAX(SUM($C42:M42)-SUM($C$42:$D$42),0)</f>
        <v/>
      </c>
      <c r="N51" s="37">
        <f>MAX(SUM($C42:N42)-SUM($C$42:$D$42),0)</f>
        <v/>
      </c>
      <c r="O51" s="37">
        <f>MAX(SUM($C42:O42)-SUM($C$42:$D$42),0)</f>
        <v/>
      </c>
      <c r="P51" s="37">
        <f>MAX(SUM($C42:P42)-SUM($C$42:$D$42),0)</f>
        <v/>
      </c>
      <c r="Q51" s="37">
        <f>MAX(SUM($C42:Q42)-SUM($C$42:$D$42),0)</f>
        <v/>
      </c>
    </row>
    <row r="52">
      <c r="A52" t="inlineStr">
        <is>
          <t>Homes added since FY2027, recent trend</t>
        </is>
      </c>
      <c r="C52" s="37">
        <f>MAX(SUM($C43:C43)-SUM($C$43:$D$43),0)</f>
        <v/>
      </c>
      <c r="D52" s="37">
        <f>MAX(SUM($C43:D43)-SUM($C$43:$D$43),0)</f>
        <v/>
      </c>
      <c r="E52" s="37">
        <f>MAX(SUM($C43:E43)-SUM($C$43:$D$43),0)</f>
        <v/>
      </c>
      <c r="F52" s="37">
        <f>MAX(SUM($C43:F43)-SUM($C$43:$D$43),0)</f>
        <v/>
      </c>
      <c r="G52" s="37">
        <f>MAX(SUM($C43:G43)-SUM($C$43:$D$43),0)</f>
        <v/>
      </c>
      <c r="H52" s="37">
        <f>MAX(SUM($C43:H43)-SUM($C$43:$D$43),0)</f>
        <v/>
      </c>
      <c r="I52" s="37">
        <f>MAX(SUM($C43:I43)-SUM($C$43:$D$43),0)</f>
        <v/>
      </c>
      <c r="J52" s="37">
        <f>MAX(SUM($C43:J43)-SUM($C$43:$D$43),0)</f>
        <v/>
      </c>
      <c r="K52" s="37">
        <f>MAX(SUM($C43:K43)-SUM($C$43:$D$43),0)</f>
        <v/>
      </c>
      <c r="L52" s="37">
        <f>MAX(SUM($C43:L43)-SUM($C$43:$D$43),0)</f>
        <v/>
      </c>
      <c r="M52" s="37">
        <f>MAX(SUM($C43:M43)-SUM($C$43:$D$43),0)</f>
        <v/>
      </c>
      <c r="N52" s="37">
        <f>MAX(SUM($C43:N43)-SUM($C$43:$D$43),0)</f>
        <v/>
      </c>
      <c r="O52" s="37">
        <f>MAX(SUM($C43:O43)-SUM($C$43:$D$43),0)</f>
        <v/>
      </c>
      <c r="P52" s="37">
        <f>MAX(SUM($C43:P43)-SUM($C$43:$D$43),0)</f>
        <v/>
      </c>
      <c r="Q52" s="37">
        <f>MAX(SUM($C43:Q43)-SUM($C$43:$D$43),0)</f>
        <v/>
      </c>
    </row>
    <row r="53">
      <c r="A53" t="inlineStr">
        <is>
          <t>Commercial square feet added since FY2027</t>
        </is>
      </c>
      <c r="C53" s="38">
        <f>MAX(SUM($C44:C44)-SUM($C$44:$D$44),0)</f>
        <v/>
      </c>
      <c r="D53" s="38">
        <f>MAX(SUM($C44:D44)-SUM($C$44:$D$44),0)</f>
        <v/>
      </c>
      <c r="E53" s="38">
        <f>MAX(SUM($C44:E44)-SUM($C$44:$D$44),0)</f>
        <v/>
      </c>
      <c r="F53" s="38">
        <f>MAX(SUM($C44:F44)-SUM($C$44:$D$44),0)</f>
        <v/>
      </c>
      <c r="G53" s="38">
        <f>MAX(SUM($C44:G44)-SUM($C$44:$D$44),0)</f>
        <v/>
      </c>
      <c r="H53" s="38">
        <f>MAX(SUM($C44:H44)-SUM($C$44:$D$44),0)</f>
        <v/>
      </c>
      <c r="I53" s="38">
        <f>MAX(SUM($C44:I44)-SUM($C$44:$D$44),0)</f>
        <v/>
      </c>
      <c r="J53" s="38">
        <f>MAX(SUM($C44:J44)-SUM($C$44:$D$44),0)</f>
        <v/>
      </c>
      <c r="K53" s="38">
        <f>MAX(SUM($C44:K44)-SUM($C$44:$D$44),0)</f>
        <v/>
      </c>
      <c r="L53" s="38">
        <f>MAX(SUM($C44:L44)-SUM($C$44:$D$44),0)</f>
        <v/>
      </c>
      <c r="M53" s="38">
        <f>MAX(SUM($C44:M44)-SUM($C$44:$D$44),0)</f>
        <v/>
      </c>
      <c r="N53" s="38">
        <f>MAX(SUM($C44:N44)-SUM($C$44:$D$44),0)</f>
        <v/>
      </c>
      <c r="O53" s="38">
        <f>MAX(SUM($C44:O44)-SUM($C$44:$D$44),0)</f>
        <v/>
      </c>
      <c r="P53" s="38">
        <f>MAX(SUM($C44:P44)-SUM($C$44:$D$44),0)</f>
        <v/>
      </c>
      <c r="Q53" s="38">
        <f>MAX(SUM($C44:Q44)-SUM($C$44:$D$44),0)</f>
        <v/>
      </c>
    </row>
    <row r="54">
      <c r="A54" t="inlineStr">
        <is>
          <t>Chestnut Hill: share built and counted</t>
        </is>
      </c>
      <c r="C54" s="39">
        <f>ChcaOn*'Revenue build'!C29</f>
        <v/>
      </c>
      <c r="D54" s="39">
        <f>ChcaOn*'Revenue build'!D29</f>
        <v/>
      </c>
      <c r="E54" s="39">
        <f>ChcaOn*'Revenue build'!E29</f>
        <v/>
      </c>
      <c r="F54" s="39">
        <f>ChcaOn*'Revenue build'!F29</f>
        <v/>
      </c>
      <c r="G54" s="39">
        <f>ChcaOn*'Revenue build'!G29</f>
        <v/>
      </c>
      <c r="H54" s="39">
        <f>ChcaOn*'Revenue build'!H29</f>
        <v/>
      </c>
      <c r="I54" s="39">
        <f>ChcaOn*'Revenue build'!I29</f>
        <v/>
      </c>
      <c r="J54" s="39">
        <f>ChcaOn*'Revenue build'!J29</f>
        <v/>
      </c>
      <c r="K54" s="39">
        <f>ChcaOn*'Revenue build'!K29</f>
        <v/>
      </c>
      <c r="L54" s="39">
        <f>ChcaOn*'Revenue build'!L29</f>
        <v/>
      </c>
      <c r="M54" s="39">
        <f>ChcaOn*'Revenue build'!M29</f>
        <v/>
      </c>
      <c r="N54" s="39">
        <f>ChcaOn*'Revenue build'!N29</f>
        <v/>
      </c>
      <c r="O54" s="39">
        <f>ChcaOn*'Revenue build'!O29</f>
        <v/>
      </c>
      <c r="P54" s="39">
        <f>ChcaOn*'Revenue build'!P29</f>
        <v/>
      </c>
      <c r="Q54" s="39">
        <f>ChcaOn*'Revenue build'!Q29</f>
        <v/>
      </c>
    </row>
    <row r="55">
      <c r="A55" t="inlineStr">
        <is>
          <t>Pay index, Town staff (FY2027 = 1)</t>
        </is>
      </c>
      <c r="C55" s="40">
        <f>1</f>
        <v/>
      </c>
      <c r="D55" s="40">
        <f>IF(D$4&gt;=2028,C55*(1+PayTown),1)</f>
        <v/>
      </c>
      <c r="E55" s="40">
        <f>IF(E$4&gt;=2028,D55*(1+PayTown),1)</f>
        <v/>
      </c>
      <c r="F55" s="40">
        <f>IF(F$4&gt;=2028,E55*(1+PayTown),1)</f>
        <v/>
      </c>
      <c r="G55" s="40">
        <f>IF(G$4&gt;=2028,F55*(1+PayTown),1)</f>
        <v/>
      </c>
      <c r="H55" s="40">
        <f>IF(H$4&gt;=2028,G55*(1+PayTown),1)</f>
        <v/>
      </c>
      <c r="I55" s="40">
        <f>IF(I$4&gt;=2028,H55*(1+PayTown),1)</f>
        <v/>
      </c>
      <c r="J55" s="40">
        <f>IF(J$4&gt;=2028,I55*(1+PayTown),1)</f>
        <v/>
      </c>
      <c r="K55" s="40">
        <f>IF(K$4&gt;=2028,J55*(1+PayTown),1)</f>
        <v/>
      </c>
      <c r="L55" s="40">
        <f>IF(L$4&gt;=2028,K55*(1+PayTown),1)</f>
        <v/>
      </c>
      <c r="M55" s="40">
        <f>IF(M$4&gt;=2028,L55*(1+PayTown),1)</f>
        <v/>
      </c>
      <c r="N55" s="40">
        <f>IF(N$4&gt;=2028,M55*(1+PayTown),1)</f>
        <v/>
      </c>
      <c r="O55" s="40">
        <f>IF(O$4&gt;=2028,N55*(1+PayTown),1)</f>
        <v/>
      </c>
      <c r="P55" s="40">
        <f>IF(P$4&gt;=2028,O55*(1+PayTown),1)</f>
        <v/>
      </c>
      <c r="Q55" s="40">
        <f>IF(Q$4&gt;=2028,P55*(1+PayTown),1)</f>
        <v/>
      </c>
    </row>
    <row r="56">
      <c r="A56" t="inlineStr">
        <is>
          <t>Pay index, Public Safety</t>
        </is>
      </c>
      <c r="C56" s="40">
        <f>1</f>
        <v/>
      </c>
      <c r="D56" s="40">
        <f>IF(D$4&gt;=2028,C56*(1+(PayTown+PSPrem)),1)</f>
        <v/>
      </c>
      <c r="E56" s="40">
        <f>IF(E$4&gt;=2028,D56*(1+(PayTown+PSPrem)),1)</f>
        <v/>
      </c>
      <c r="F56" s="40">
        <f>IF(F$4&gt;=2028,E56*(1+(PayTown+PSPrem)),1)</f>
        <v/>
      </c>
      <c r="G56" s="40">
        <f>IF(G$4&gt;=2028,F56*(1+(PayTown+PSPrem)),1)</f>
        <v/>
      </c>
      <c r="H56" s="40">
        <f>IF(H$4&gt;=2028,G56*(1+(PayTown+PSPrem)),1)</f>
        <v/>
      </c>
      <c r="I56" s="40">
        <f>IF(I$4&gt;=2028,H56*(1+(PayTown+PSPrem)),1)</f>
        <v/>
      </c>
      <c r="J56" s="40">
        <f>IF(J$4&gt;=2028,I56*(1+(PayTown+PSPrem)),1)</f>
        <v/>
      </c>
      <c r="K56" s="40">
        <f>IF(K$4&gt;=2028,J56*(1+(PayTown+PSPrem)),1)</f>
        <v/>
      </c>
      <c r="L56" s="40">
        <f>IF(L$4&gt;=2028,K56*(1+(PayTown+PSPrem)),1)</f>
        <v/>
      </c>
      <c r="M56" s="40">
        <f>IF(M$4&gt;=2028,L56*(1+(PayTown+PSPrem)),1)</f>
        <v/>
      </c>
      <c r="N56" s="40">
        <f>IF(N$4&gt;=2028,M56*(1+(PayTown+PSPrem)),1)</f>
        <v/>
      </c>
      <c r="O56" s="40">
        <f>IF(O$4&gt;=2028,N56*(1+(PayTown+PSPrem)),1)</f>
        <v/>
      </c>
      <c r="P56" s="40">
        <f>IF(P$4&gt;=2028,O56*(1+(PayTown+PSPrem)),1)</f>
        <v/>
      </c>
      <c r="Q56" s="40">
        <f>IF(Q$4&gt;=2028,P56*(1+(PayTown+PSPrem)),1)</f>
        <v/>
      </c>
    </row>
    <row r="57">
      <c r="A57" t="inlineStr">
        <is>
          <t>Pay index, schools</t>
        </is>
      </c>
      <c r="C57" s="40">
        <f>1</f>
        <v/>
      </c>
      <c r="D57" s="40">
        <f>IF(D$4&gt;=2028,C57*(1+(PayTown+SchDrift)),1)</f>
        <v/>
      </c>
      <c r="E57" s="40">
        <f>IF(E$4&gt;=2028,D57*(1+(PayTown+SchDrift)),1)</f>
        <v/>
      </c>
      <c r="F57" s="40">
        <f>IF(F$4&gt;=2028,E57*(1+(PayTown+SchDrift)),1)</f>
        <v/>
      </c>
      <c r="G57" s="40">
        <f>IF(G$4&gt;=2028,F57*(1+(PayTown+SchDrift)),1)</f>
        <v/>
      </c>
      <c r="H57" s="40">
        <f>IF(H$4&gt;=2028,G57*(1+(PayTown+SchDrift)),1)</f>
        <v/>
      </c>
      <c r="I57" s="40">
        <f>IF(I$4&gt;=2028,H57*(1+(PayTown+SchDrift)),1)</f>
        <v/>
      </c>
      <c r="J57" s="40">
        <f>IF(J$4&gt;=2028,I57*(1+(PayTown+SchDrift)),1)</f>
        <v/>
      </c>
      <c r="K57" s="40">
        <f>IF(K$4&gt;=2028,J57*(1+(PayTown+SchDrift)),1)</f>
        <v/>
      </c>
      <c r="L57" s="40">
        <f>IF(L$4&gt;=2028,K57*(1+(PayTown+SchDrift)),1)</f>
        <v/>
      </c>
      <c r="M57" s="40">
        <f>IF(M$4&gt;=2028,L57*(1+(PayTown+SchDrift)),1)</f>
        <v/>
      </c>
      <c r="N57" s="40">
        <f>IF(N$4&gt;=2028,M57*(1+(PayTown+SchDrift)),1)</f>
        <v/>
      </c>
      <c r="O57" s="40">
        <f>IF(O$4&gt;=2028,N57*(1+(PayTown+SchDrift)),1)</f>
        <v/>
      </c>
      <c r="P57" s="40">
        <f>IF(P$4&gt;=2028,O57*(1+(PayTown+SchDrift)),1)</f>
        <v/>
      </c>
      <c r="Q57" s="40">
        <f>IF(Q$4&gt;=2028,P57*(1+(PayTown+SchDrift)),1)</f>
        <v/>
      </c>
    </row>
    <row r="58">
      <c r="A58" t="inlineStr">
        <is>
          <t>Price index</t>
        </is>
      </c>
      <c r="C58" s="40">
        <f>1</f>
        <v/>
      </c>
      <c r="D58" s="40">
        <f>IF(D$4&gt;=2028,C58*(1+Inflation),1)</f>
        <v/>
      </c>
      <c r="E58" s="40">
        <f>IF(E$4&gt;=2028,D58*(1+Inflation),1)</f>
        <v/>
      </c>
      <c r="F58" s="40">
        <f>IF(F$4&gt;=2028,E58*(1+Inflation),1)</f>
        <v/>
      </c>
      <c r="G58" s="40">
        <f>IF(G$4&gt;=2028,F58*(1+Inflation),1)</f>
        <v/>
      </c>
      <c r="H58" s="40">
        <f>IF(H$4&gt;=2028,G58*(1+Inflation),1)</f>
        <v/>
      </c>
      <c r="I58" s="40">
        <f>IF(I$4&gt;=2028,H58*(1+Inflation),1)</f>
        <v/>
      </c>
      <c r="J58" s="40">
        <f>IF(J$4&gt;=2028,I58*(1+Inflation),1)</f>
        <v/>
      </c>
      <c r="K58" s="40">
        <f>IF(K$4&gt;=2028,J58*(1+Inflation),1)</f>
        <v/>
      </c>
      <c r="L58" s="40">
        <f>IF(L$4&gt;=2028,K58*(1+Inflation),1)</f>
        <v/>
      </c>
      <c r="M58" s="40">
        <f>IF(M$4&gt;=2028,L58*(1+Inflation),1)</f>
        <v/>
      </c>
      <c r="N58" s="40">
        <f>IF(N$4&gt;=2028,M58*(1+Inflation),1)</f>
        <v/>
      </c>
      <c r="O58" s="40">
        <f>IF(O$4&gt;=2028,N58*(1+Inflation),1)</f>
        <v/>
      </c>
      <c r="P58" s="40">
        <f>IF(P$4&gt;=2028,O58*(1+Inflation),1)</f>
        <v/>
      </c>
      <c r="Q58" s="40">
        <f>IF(Q$4&gt;=2028,P58*(1+Inflation),1)</f>
        <v/>
      </c>
    </row>
    <row r="59">
      <c r="A59" t="inlineStr">
        <is>
          <t>Price index, school non-personnel</t>
        </is>
      </c>
      <c r="C59" s="40">
        <f>1</f>
        <v/>
      </c>
      <c r="D59" s="40">
        <f>IF(D$4&gt;=2028,C59*(1+(Inflation+NPExtra)),1)</f>
        <v/>
      </c>
      <c r="E59" s="40">
        <f>IF(E$4&gt;=2028,D59*(1+(Inflation+NPExtra)),1)</f>
        <v/>
      </c>
      <c r="F59" s="40">
        <f>IF(F$4&gt;=2028,E59*(1+(Inflation+NPExtra)),1)</f>
        <v/>
      </c>
      <c r="G59" s="40">
        <f>IF(G$4&gt;=2028,F59*(1+(Inflation+NPExtra)),1)</f>
        <v/>
      </c>
      <c r="H59" s="40">
        <f>IF(H$4&gt;=2028,G59*(1+(Inflation+NPExtra)),1)</f>
        <v/>
      </c>
      <c r="I59" s="40">
        <f>IF(I$4&gt;=2028,H59*(1+(Inflation+NPExtra)),1)</f>
        <v/>
      </c>
      <c r="J59" s="40">
        <f>IF(J$4&gt;=2028,I59*(1+(Inflation+NPExtra)),1)</f>
        <v/>
      </c>
      <c r="K59" s="40">
        <f>IF(K$4&gt;=2028,J59*(1+(Inflation+NPExtra)),1)</f>
        <v/>
      </c>
      <c r="L59" s="40">
        <f>IF(L$4&gt;=2028,K59*(1+(Inflation+NPExtra)),1)</f>
        <v/>
      </c>
      <c r="M59" s="40">
        <f>IF(M$4&gt;=2028,L59*(1+(Inflation+NPExtra)),1)</f>
        <v/>
      </c>
      <c r="N59" s="40">
        <f>IF(N$4&gt;=2028,M59*(1+(Inflation+NPExtra)),1)</f>
        <v/>
      </c>
      <c r="O59" s="40">
        <f>IF(O$4&gt;=2028,N59*(1+(Inflation+NPExtra)),1)</f>
        <v/>
      </c>
      <c r="P59" s="40">
        <f>IF(P$4&gt;=2028,O59*(1+(Inflation+NPExtra)),1)</f>
        <v/>
      </c>
      <c r="Q59" s="40">
        <f>IF(Q$4&gt;=2028,P59*(1+(Inflation+NPExtra)),1)</f>
        <v/>
      </c>
    </row>
    <row r="60">
      <c r="A60" t="inlineStr">
        <is>
          <t>Health premium index</t>
        </is>
      </c>
      <c r="C60" s="40">
        <f>1</f>
        <v/>
      </c>
      <c r="D60" s="40">
        <f>IF(D$4&gt;=2028,C60*(1+IF(OR(D$4=2028,D$4=2029),PremNear,PremLong)),1)</f>
        <v/>
      </c>
      <c r="E60" s="40">
        <f>IF(E$4&gt;=2028,D60*(1+IF(OR(E$4=2028,E$4=2029),PremNear,PremLong)),1)</f>
        <v/>
      </c>
      <c r="F60" s="40">
        <f>IF(F$4&gt;=2028,E60*(1+IF(OR(F$4=2028,F$4=2029),PremNear,PremLong)),1)</f>
        <v/>
      </c>
      <c r="G60" s="40">
        <f>IF(G$4&gt;=2028,F60*(1+IF(OR(G$4=2028,G$4=2029),PremNear,PremLong)),1)</f>
        <v/>
      </c>
      <c r="H60" s="40">
        <f>IF(H$4&gt;=2028,G60*(1+IF(OR(H$4=2028,H$4=2029),PremNear,PremLong)),1)</f>
        <v/>
      </c>
      <c r="I60" s="40">
        <f>IF(I$4&gt;=2028,H60*(1+IF(OR(I$4=2028,I$4=2029),PremNear,PremLong)),1)</f>
        <v/>
      </c>
      <c r="J60" s="40">
        <f>IF(J$4&gt;=2028,I60*(1+IF(OR(J$4=2028,J$4=2029),PremNear,PremLong)),1)</f>
        <v/>
      </c>
      <c r="K60" s="40">
        <f>IF(K$4&gt;=2028,J60*(1+IF(OR(K$4=2028,K$4=2029),PremNear,PremLong)),1)</f>
        <v/>
      </c>
      <c r="L60" s="40">
        <f>IF(L$4&gt;=2028,K60*(1+IF(OR(L$4=2028,L$4=2029),PremNear,PremLong)),1)</f>
        <v/>
      </c>
      <c r="M60" s="40">
        <f>IF(M$4&gt;=2028,L60*(1+IF(OR(M$4=2028,M$4=2029),PremNear,PremLong)),1)</f>
        <v/>
      </c>
      <c r="N60" s="40">
        <f>IF(N$4&gt;=2028,M60*(1+IF(OR(N$4=2028,N$4=2029),PremNear,PremLong)),1)</f>
        <v/>
      </c>
      <c r="O60" s="40">
        <f>IF(O$4&gt;=2028,N60*(1+IF(OR(O$4=2028,O$4=2029),PremNear,PremLong)),1)</f>
        <v/>
      </c>
      <c r="P60" s="40">
        <f>IF(P$4&gt;=2028,O60*(1+IF(OR(P$4=2028,P$4=2029),PremNear,PremLong)),1)</f>
        <v/>
      </c>
      <c r="Q60" s="40">
        <f>IF(Q$4&gt;=2028,P60*(1+IF(OR(Q$4=2028,Q$4=2029),PremNear,PremLong)),1)</f>
        <v/>
      </c>
    </row>
    <row r="61">
      <c r="A61" t="inlineStr">
        <is>
          <t>Enrollment on the chosen path</t>
        </is>
      </c>
      <c r="C61" s="37">
        <f>IF(EnrollMode="cm",Data!C25,IF(AND(EnrollMode="flat",C$4&gt;2027),Data!$D$10,Data!C11*(1+Migration)^0+Data!C12*(1+Migration)^1+Data!C13*(1+Migration)^2+Data!C14*(1+Migration)^3+Data!C15*(1+Migration)^4+Data!C16*(1+Migration)^5+Data!C17*(1+Migration)^6+Data!C18*(1+Migration)^7+Data!C19*(1+Migration)^8+Data!C20*(1+Migration)^9+Data!C21*(1+Migration)^10+Data!C22*(1+Migration)^11+Data!C23*(1+Migration)^12+Data!C24*(1+Migration)^13))</f>
        <v/>
      </c>
      <c r="D61" s="37">
        <f>IF(EnrollMode="cm",Data!D25,IF(AND(EnrollMode="flat",D$4&gt;2027),Data!$D$10,Data!D11*(1+Migration)^0+Data!D12*(1+Migration)^1+Data!D13*(1+Migration)^2+Data!D14*(1+Migration)^3+Data!D15*(1+Migration)^4+Data!D16*(1+Migration)^5+Data!D17*(1+Migration)^6+Data!D18*(1+Migration)^7+Data!D19*(1+Migration)^8+Data!D20*(1+Migration)^9+Data!D21*(1+Migration)^10+Data!D22*(1+Migration)^11+Data!D23*(1+Migration)^12+Data!D24*(1+Migration)^13))</f>
        <v/>
      </c>
      <c r="E61" s="37">
        <f>IF(EnrollMode="cm",Data!E25,IF(AND(EnrollMode="flat",E$4&gt;2027),Data!$D$10,Data!E11*(1+Migration)^0+Data!E12*(1+Migration)^1+Data!E13*(1+Migration)^2+Data!E14*(1+Migration)^3+Data!E15*(1+Migration)^4+Data!E16*(1+Migration)^5+Data!E17*(1+Migration)^6+Data!E18*(1+Migration)^7+Data!E19*(1+Migration)^8+Data!E20*(1+Migration)^9+Data!E21*(1+Migration)^10+Data!E22*(1+Migration)^11+Data!E23*(1+Migration)^12+Data!E24*(1+Migration)^13))</f>
        <v/>
      </c>
      <c r="F61" s="37">
        <f>IF(EnrollMode="cm",Data!F25,IF(AND(EnrollMode="flat",F$4&gt;2027),Data!$D$10,Data!F11*(1+Migration)^0+Data!F12*(1+Migration)^1+Data!F13*(1+Migration)^2+Data!F14*(1+Migration)^3+Data!F15*(1+Migration)^4+Data!F16*(1+Migration)^5+Data!F17*(1+Migration)^6+Data!F18*(1+Migration)^7+Data!F19*(1+Migration)^8+Data!F20*(1+Migration)^9+Data!F21*(1+Migration)^10+Data!F22*(1+Migration)^11+Data!F23*(1+Migration)^12+Data!F24*(1+Migration)^13))</f>
        <v/>
      </c>
      <c r="G61" s="37">
        <f>IF(EnrollMode="cm",Data!G25,IF(AND(EnrollMode="flat",G$4&gt;2027),Data!$D$10,Data!G11*(1+Migration)^0+Data!G12*(1+Migration)^1+Data!G13*(1+Migration)^2+Data!G14*(1+Migration)^3+Data!G15*(1+Migration)^4+Data!G16*(1+Migration)^5+Data!G17*(1+Migration)^6+Data!G18*(1+Migration)^7+Data!G19*(1+Migration)^8+Data!G20*(1+Migration)^9+Data!G21*(1+Migration)^10+Data!G22*(1+Migration)^11+Data!G23*(1+Migration)^12+Data!G24*(1+Migration)^13))</f>
        <v/>
      </c>
      <c r="H61" s="37">
        <f>IF(EnrollMode="cm",Data!H25,IF(AND(EnrollMode="flat",H$4&gt;2027),Data!$D$10,Data!H11*(1+Migration)^0+Data!H12*(1+Migration)^1+Data!H13*(1+Migration)^2+Data!H14*(1+Migration)^3+Data!H15*(1+Migration)^4+Data!H16*(1+Migration)^5+Data!H17*(1+Migration)^6+Data!H18*(1+Migration)^7+Data!H19*(1+Migration)^8+Data!H20*(1+Migration)^9+Data!H21*(1+Migration)^10+Data!H22*(1+Migration)^11+Data!H23*(1+Migration)^12+Data!H24*(1+Migration)^13))</f>
        <v/>
      </c>
      <c r="I61" s="37">
        <f>IF(EnrollMode="cm",Data!I25,IF(AND(EnrollMode="flat",I$4&gt;2027),Data!$D$10,Data!I11*(1+Migration)^0+Data!I12*(1+Migration)^1+Data!I13*(1+Migration)^2+Data!I14*(1+Migration)^3+Data!I15*(1+Migration)^4+Data!I16*(1+Migration)^5+Data!I17*(1+Migration)^6+Data!I18*(1+Migration)^7+Data!I19*(1+Migration)^8+Data!I20*(1+Migration)^9+Data!I21*(1+Migration)^10+Data!I22*(1+Migration)^11+Data!I23*(1+Migration)^12+Data!I24*(1+Migration)^13))</f>
        <v/>
      </c>
      <c r="J61" s="37">
        <f>IF(EnrollMode="cm",Data!J25,IF(AND(EnrollMode="flat",J$4&gt;2027),Data!$D$10,Data!J11*(1+Migration)^0+Data!J12*(1+Migration)^1+Data!J13*(1+Migration)^2+Data!J14*(1+Migration)^3+Data!J15*(1+Migration)^4+Data!J16*(1+Migration)^5+Data!J17*(1+Migration)^6+Data!J18*(1+Migration)^7+Data!J19*(1+Migration)^8+Data!J20*(1+Migration)^9+Data!J21*(1+Migration)^10+Data!J22*(1+Migration)^11+Data!J23*(1+Migration)^12+Data!J24*(1+Migration)^13))</f>
        <v/>
      </c>
      <c r="K61" s="37">
        <f>IF(EnrollMode="cm",Data!K25,IF(AND(EnrollMode="flat",K$4&gt;2027),Data!$D$10,Data!K11*(1+Migration)^0+Data!K12*(1+Migration)^1+Data!K13*(1+Migration)^2+Data!K14*(1+Migration)^3+Data!K15*(1+Migration)^4+Data!K16*(1+Migration)^5+Data!K17*(1+Migration)^6+Data!K18*(1+Migration)^7+Data!K19*(1+Migration)^8+Data!K20*(1+Migration)^9+Data!K21*(1+Migration)^10+Data!K22*(1+Migration)^11+Data!K23*(1+Migration)^12+Data!K24*(1+Migration)^13))</f>
        <v/>
      </c>
      <c r="L61" s="37">
        <f>IF(EnrollMode="cm",Data!L25,IF(AND(EnrollMode="flat",L$4&gt;2027),Data!$D$10,Data!L11*(1+Migration)^0+Data!L12*(1+Migration)^1+Data!L13*(1+Migration)^2+Data!L14*(1+Migration)^3+Data!L15*(1+Migration)^4+Data!L16*(1+Migration)^5+Data!L17*(1+Migration)^6+Data!L18*(1+Migration)^7+Data!L19*(1+Migration)^8+Data!L20*(1+Migration)^9+Data!L21*(1+Migration)^10+Data!L22*(1+Migration)^11+Data!L23*(1+Migration)^12+Data!L24*(1+Migration)^13))</f>
        <v/>
      </c>
      <c r="M61" s="37">
        <f>IF(EnrollMode="cm",Data!M25,IF(AND(EnrollMode="flat",M$4&gt;2027),Data!$D$10,Data!M11*(1+Migration)^0+Data!M12*(1+Migration)^1+Data!M13*(1+Migration)^2+Data!M14*(1+Migration)^3+Data!M15*(1+Migration)^4+Data!M16*(1+Migration)^5+Data!M17*(1+Migration)^6+Data!M18*(1+Migration)^7+Data!M19*(1+Migration)^8+Data!M20*(1+Migration)^9+Data!M21*(1+Migration)^10+Data!M22*(1+Migration)^11+Data!M23*(1+Migration)^12+Data!M24*(1+Migration)^13))</f>
        <v/>
      </c>
      <c r="N61" s="37">
        <f>IF(EnrollMode="cm",Data!N25,IF(AND(EnrollMode="flat",N$4&gt;2027),Data!$D$10,Data!N11*(1+Migration)^0+Data!N12*(1+Migration)^1+Data!N13*(1+Migration)^2+Data!N14*(1+Migration)^3+Data!N15*(1+Migration)^4+Data!N16*(1+Migration)^5+Data!N17*(1+Migration)^6+Data!N18*(1+Migration)^7+Data!N19*(1+Migration)^8+Data!N20*(1+Migration)^9+Data!N21*(1+Migration)^10+Data!N22*(1+Migration)^11+Data!N23*(1+Migration)^12+Data!N24*(1+Migration)^13))</f>
        <v/>
      </c>
      <c r="O61" s="37">
        <f>IF(EnrollMode="cm",Data!O25,IF(AND(EnrollMode="flat",O$4&gt;2027),Data!$D$10,Data!O11*(1+Migration)^0+Data!O12*(1+Migration)^1+Data!O13*(1+Migration)^2+Data!O14*(1+Migration)^3+Data!O15*(1+Migration)^4+Data!O16*(1+Migration)^5+Data!O17*(1+Migration)^6+Data!O18*(1+Migration)^7+Data!O19*(1+Migration)^8+Data!O20*(1+Migration)^9+Data!O21*(1+Migration)^10+Data!O22*(1+Migration)^11+Data!O23*(1+Migration)^12+Data!O24*(1+Migration)^13))</f>
        <v/>
      </c>
      <c r="P61" s="37">
        <f>IF(EnrollMode="cm",Data!P25,IF(AND(EnrollMode="flat",P$4&gt;2027),Data!$D$10,Data!P11*(1+Migration)^0+Data!P12*(1+Migration)^1+Data!P13*(1+Migration)^2+Data!P14*(1+Migration)^3+Data!P15*(1+Migration)^4+Data!P16*(1+Migration)^5+Data!P17*(1+Migration)^6+Data!P18*(1+Migration)^7+Data!P19*(1+Migration)^8+Data!P20*(1+Migration)^9+Data!P21*(1+Migration)^10+Data!P22*(1+Migration)^11+Data!P23*(1+Migration)^12+Data!P24*(1+Migration)^13))</f>
        <v/>
      </c>
      <c r="Q61" s="37">
        <f>IF(EnrollMode="cm",Data!Q25,IF(AND(EnrollMode="flat",Q$4&gt;2027),Data!$D$10,Data!Q11*(1+Migration)^0+Data!Q12*(1+Migration)^1+Data!Q13*(1+Migration)^2+Data!Q14*(1+Migration)^3+Data!Q15*(1+Migration)^4+Data!Q16*(1+Migration)^5+Data!Q17*(1+Migration)^6+Data!Q18*(1+Migration)^7+Data!Q19*(1+Migration)^8+Data!Q20*(1+Migration)^9+Data!Q21*(1+Migration)^10+Data!Q22*(1+Migration)^11+Data!Q23*(1+Migration)^12+Data!Q24*(1+Migration)^13))</f>
        <v/>
      </c>
    </row>
    <row r="62">
      <c r="A62" t="inlineStr">
        <is>
          <t>Students from growth above the trend</t>
        </is>
      </c>
      <c r="C62" s="37">
        <f>MAX(C51-C52,0)*K_SPH+K_ChcaUnits*C54*K_ChcaSPU</f>
        <v/>
      </c>
      <c r="D62" s="37">
        <f>MAX(D51-D52,0)*K_SPH+K_ChcaUnits*D54*K_ChcaSPU</f>
        <v/>
      </c>
      <c r="E62" s="37">
        <f>MAX(E51-E52,0)*K_SPH+K_ChcaUnits*E54*K_ChcaSPU</f>
        <v/>
      </c>
      <c r="F62" s="37">
        <f>MAX(F51-F52,0)*K_SPH+K_ChcaUnits*F54*K_ChcaSPU</f>
        <v/>
      </c>
      <c r="G62" s="37">
        <f>MAX(G51-G52,0)*K_SPH+K_ChcaUnits*G54*K_ChcaSPU</f>
        <v/>
      </c>
      <c r="H62" s="37">
        <f>MAX(H51-H52,0)*K_SPH+K_ChcaUnits*H54*K_ChcaSPU</f>
        <v/>
      </c>
      <c r="I62" s="37">
        <f>MAX(I51-I52,0)*K_SPH+K_ChcaUnits*I54*K_ChcaSPU</f>
        <v/>
      </c>
      <c r="J62" s="37">
        <f>MAX(J51-J52,0)*K_SPH+K_ChcaUnits*J54*K_ChcaSPU</f>
        <v/>
      </c>
      <c r="K62" s="37">
        <f>MAX(K51-K52,0)*K_SPH+K_ChcaUnits*K54*K_ChcaSPU</f>
        <v/>
      </c>
      <c r="L62" s="37">
        <f>MAX(L51-L52,0)*K_SPH+K_ChcaUnits*L54*K_ChcaSPU</f>
        <v/>
      </c>
      <c r="M62" s="37">
        <f>MAX(M51-M52,0)*K_SPH+K_ChcaUnits*M54*K_ChcaSPU</f>
        <v/>
      </c>
      <c r="N62" s="37">
        <f>MAX(N51-N52,0)*K_SPH+K_ChcaUnits*N54*K_ChcaSPU</f>
        <v/>
      </c>
      <c r="O62" s="37">
        <f>MAX(O51-O52,0)*K_SPH+K_ChcaUnits*O54*K_ChcaSPU</f>
        <v/>
      </c>
      <c r="P62" s="37">
        <f>MAX(P51-P52,0)*K_SPH+K_ChcaUnits*P54*K_ChcaSPU</f>
        <v/>
      </c>
      <c r="Q62" s="37">
        <f>MAX(Q51-Q52,0)*K_SPH+K_ChcaUnits*Q54*K_ChcaSPU</f>
        <v/>
      </c>
    </row>
    <row r="63">
      <c r="A63" t="inlineStr">
        <is>
          <t>Students from growth filling open seats, unstaffed</t>
        </is>
      </c>
      <c r="C63" s="37">
        <f>IF(AND(FillCap=1,RatioMode="keep"),MAX(MIN(C62,Enroll27-C61),0),IF(AND(FillCap=1,RatioMode="half"),MIN(C62,0.5*MAX(Enroll27-C61,0)),0))</f>
        <v/>
      </c>
      <c r="D63" s="37">
        <f>IF(AND(FillCap=1,RatioMode="keep"),MAX(MIN(D62,Enroll27-D61),0),IF(AND(FillCap=1,RatioMode="half"),MIN(D62,0.5*MAX(Enroll27-D61,0)),0))</f>
        <v/>
      </c>
      <c r="E63" s="37">
        <f>IF(AND(FillCap=1,RatioMode="keep"),MAX(MIN(E62,Enroll27-E61),0),IF(AND(FillCap=1,RatioMode="half"),MIN(E62,0.5*MAX(Enroll27-E61,0)),0))</f>
        <v/>
      </c>
      <c r="F63" s="37">
        <f>IF(AND(FillCap=1,RatioMode="keep"),MAX(MIN(F62,Enroll27-F61),0),IF(AND(FillCap=1,RatioMode="half"),MIN(F62,0.5*MAX(Enroll27-F61,0)),0))</f>
        <v/>
      </c>
      <c r="G63" s="37">
        <f>IF(AND(FillCap=1,RatioMode="keep"),MAX(MIN(G62,Enroll27-G61),0),IF(AND(FillCap=1,RatioMode="half"),MIN(G62,0.5*MAX(Enroll27-G61,0)),0))</f>
        <v/>
      </c>
      <c r="H63" s="37">
        <f>IF(AND(FillCap=1,RatioMode="keep"),MAX(MIN(H62,Enroll27-H61),0),IF(AND(FillCap=1,RatioMode="half"),MIN(H62,0.5*MAX(Enroll27-H61,0)),0))</f>
        <v/>
      </c>
      <c r="I63" s="37">
        <f>IF(AND(FillCap=1,RatioMode="keep"),MAX(MIN(I62,Enroll27-I61),0),IF(AND(FillCap=1,RatioMode="half"),MIN(I62,0.5*MAX(Enroll27-I61,0)),0))</f>
        <v/>
      </c>
      <c r="J63" s="37">
        <f>IF(AND(FillCap=1,RatioMode="keep"),MAX(MIN(J62,Enroll27-J61),0),IF(AND(FillCap=1,RatioMode="half"),MIN(J62,0.5*MAX(Enroll27-J61,0)),0))</f>
        <v/>
      </c>
      <c r="K63" s="37">
        <f>IF(AND(FillCap=1,RatioMode="keep"),MAX(MIN(K62,Enroll27-K61),0),IF(AND(FillCap=1,RatioMode="half"),MIN(K62,0.5*MAX(Enroll27-K61,0)),0))</f>
        <v/>
      </c>
      <c r="L63" s="37">
        <f>IF(AND(FillCap=1,RatioMode="keep"),MAX(MIN(L62,Enroll27-L61),0),IF(AND(FillCap=1,RatioMode="half"),MIN(L62,0.5*MAX(Enroll27-L61,0)),0))</f>
        <v/>
      </c>
      <c r="M63" s="37">
        <f>IF(AND(FillCap=1,RatioMode="keep"),MAX(MIN(M62,Enroll27-M61),0),IF(AND(FillCap=1,RatioMode="half"),MIN(M62,0.5*MAX(Enroll27-M61,0)),0))</f>
        <v/>
      </c>
      <c r="N63" s="37">
        <f>IF(AND(FillCap=1,RatioMode="keep"),MAX(MIN(N62,Enroll27-N61),0),IF(AND(FillCap=1,RatioMode="half"),MIN(N62,0.5*MAX(Enroll27-N61,0)),0))</f>
        <v/>
      </c>
      <c r="O63" s="37">
        <f>IF(AND(FillCap=1,RatioMode="keep"),MAX(MIN(O62,Enroll27-O61),0),IF(AND(FillCap=1,RatioMode="half"),MIN(O62,0.5*MAX(Enroll27-O61,0)),0))</f>
        <v/>
      </c>
      <c r="P63" s="37">
        <f>IF(AND(FillCap=1,RatioMode="keep"),MAX(MIN(P62,Enroll27-P61),0),IF(AND(FillCap=1,RatioMode="half"),MIN(P62,0.5*MAX(Enroll27-P61,0)),0))</f>
        <v/>
      </c>
      <c r="Q63" s="37">
        <f>IF(AND(FillCap=1,RatioMode="keep"),MAX(MIN(Q62,Enroll27-Q61),0),IF(AND(FillCap=1,RatioMode="half"),MIN(Q62,0.5*MAX(Enroll27-Q61,0)),0))</f>
        <v/>
      </c>
    </row>
    <row r="64">
      <c r="A64" t="inlineStr">
        <is>
          <t>Students per staff member</t>
        </is>
      </c>
      <c r="C64" s="39">
        <f>IF(RatioMode="partial",Ratio27+(RatioTarget-Ratio27)*MIN(MAX((C$4-2027)/5,0),1),Ratio27)</f>
        <v/>
      </c>
      <c r="D64" s="39">
        <f>IF(RatioMode="partial",Ratio27+(RatioTarget-Ratio27)*MIN(MAX((D$4-2027)/5,0),1),Ratio27)</f>
        <v/>
      </c>
      <c r="E64" s="39">
        <f>IF(RatioMode="partial",Ratio27+(RatioTarget-Ratio27)*MIN(MAX((E$4-2027)/5,0),1),Ratio27)</f>
        <v/>
      </c>
      <c r="F64" s="39">
        <f>IF(RatioMode="partial",Ratio27+(RatioTarget-Ratio27)*MIN(MAX((F$4-2027)/5,0),1),Ratio27)</f>
        <v/>
      </c>
      <c r="G64" s="39">
        <f>IF(RatioMode="partial",Ratio27+(RatioTarget-Ratio27)*MIN(MAX((G$4-2027)/5,0),1),Ratio27)</f>
        <v/>
      </c>
      <c r="H64" s="39">
        <f>IF(RatioMode="partial",Ratio27+(RatioTarget-Ratio27)*MIN(MAX((H$4-2027)/5,0),1),Ratio27)</f>
        <v/>
      </c>
      <c r="I64" s="39">
        <f>IF(RatioMode="partial",Ratio27+(RatioTarget-Ratio27)*MIN(MAX((I$4-2027)/5,0),1),Ratio27)</f>
        <v/>
      </c>
      <c r="J64" s="39">
        <f>IF(RatioMode="partial",Ratio27+(RatioTarget-Ratio27)*MIN(MAX((J$4-2027)/5,0),1),Ratio27)</f>
        <v/>
      </c>
      <c r="K64" s="39">
        <f>IF(RatioMode="partial",Ratio27+(RatioTarget-Ratio27)*MIN(MAX((K$4-2027)/5,0),1),Ratio27)</f>
        <v/>
      </c>
      <c r="L64" s="39">
        <f>IF(RatioMode="partial",Ratio27+(RatioTarget-Ratio27)*MIN(MAX((L$4-2027)/5,0),1),Ratio27)</f>
        <v/>
      </c>
      <c r="M64" s="39">
        <f>IF(RatioMode="partial",Ratio27+(RatioTarget-Ratio27)*MIN(MAX((M$4-2027)/5,0),1),Ratio27)</f>
        <v/>
      </c>
      <c r="N64" s="39">
        <f>IF(RatioMode="partial",Ratio27+(RatioTarget-Ratio27)*MIN(MAX((N$4-2027)/5,0),1),Ratio27)</f>
        <v/>
      </c>
      <c r="O64" s="39">
        <f>IF(RatioMode="partial",Ratio27+(RatioTarget-Ratio27)*MIN(MAX((O$4-2027)/5,0),1),Ratio27)</f>
        <v/>
      </c>
      <c r="P64" s="39">
        <f>IF(RatioMode="partial",Ratio27+(RatioTarget-Ratio27)*MIN(MAX((P$4-2027)/5,0),1),Ratio27)</f>
        <v/>
      </c>
      <c r="Q64" s="39">
        <f>IF(RatioMode="partial",Ratio27+(RatioTarget-Ratio27)*MIN(MAX((Q$4-2027)/5,0),1),Ratio27)</f>
        <v/>
      </c>
    </row>
    <row r="65">
      <c r="A65" t="inlineStr">
        <is>
          <t>Staff implied by the staffing rule</t>
        </is>
      </c>
      <c r="C65" s="37">
        <f>IF(AND(FillCap=1,RatioMode="keep"),Staff27+MAX(C32-Enroll27,0)/Ratio27,IF(RatioMode="keep",Staff27+C62/Ratio27,IF(AND(FillCap=1,RatioMode="half"),Staff27+(0.5/K_V)*MIN(C61-Enroll27,0)/Ratio27+MAX(C61-Enroll27,0)/Ratio27+MAX(C62-0.5*MAX(Enroll27-C61,0),0)/Ratio27,IF(RatioMode="half",Staff27+C62/Ratio27+(0.5/K_V)*MIN(C61-Enroll27,0)/Ratio27+MAX(C61-Enroll27,0)/Ratio27,C32/C64))))</f>
        <v/>
      </c>
      <c r="D65" s="37">
        <f>IF(AND(FillCap=1,RatioMode="keep"),Staff27+MAX(D32-Enroll27,0)/Ratio27,IF(RatioMode="keep",Staff27+D62/Ratio27,IF(AND(FillCap=1,RatioMode="half"),Staff27+(0.5/K_V)*MIN(D61-Enroll27,0)/Ratio27+MAX(D61-Enroll27,0)/Ratio27+MAX(D62-0.5*MAX(Enroll27-D61,0),0)/Ratio27,IF(RatioMode="half",Staff27+D62/Ratio27+(0.5/K_V)*MIN(D61-Enroll27,0)/Ratio27+MAX(D61-Enroll27,0)/Ratio27,D32/D64))))</f>
        <v/>
      </c>
      <c r="E65" s="37">
        <f>IF(AND(FillCap=1,RatioMode="keep"),Staff27+MAX(E32-Enroll27,0)/Ratio27,IF(RatioMode="keep",Staff27+E62/Ratio27,IF(AND(FillCap=1,RatioMode="half"),Staff27+(0.5/K_V)*MIN(E61-Enroll27,0)/Ratio27+MAX(E61-Enroll27,0)/Ratio27+MAX(E62-0.5*MAX(Enroll27-E61,0),0)/Ratio27,IF(RatioMode="half",Staff27+E62/Ratio27+(0.5/K_V)*MIN(E61-Enroll27,0)/Ratio27+MAX(E61-Enroll27,0)/Ratio27,E32/E64))))</f>
        <v/>
      </c>
      <c r="F65" s="37">
        <f>IF(AND(FillCap=1,RatioMode="keep"),Staff27+MAX(F32-Enroll27,0)/Ratio27,IF(RatioMode="keep",Staff27+F62/Ratio27,IF(AND(FillCap=1,RatioMode="half"),Staff27+(0.5/K_V)*MIN(F61-Enroll27,0)/Ratio27+MAX(F61-Enroll27,0)/Ratio27+MAX(F62-0.5*MAX(Enroll27-F61,0),0)/Ratio27,IF(RatioMode="half",Staff27+F62/Ratio27+(0.5/K_V)*MIN(F61-Enroll27,0)/Ratio27+MAX(F61-Enroll27,0)/Ratio27,F32/F64))))</f>
        <v/>
      </c>
      <c r="G65" s="37">
        <f>IF(AND(FillCap=1,RatioMode="keep"),Staff27+MAX(G32-Enroll27,0)/Ratio27,IF(RatioMode="keep",Staff27+G62/Ratio27,IF(AND(FillCap=1,RatioMode="half"),Staff27+(0.5/K_V)*MIN(G61-Enroll27,0)/Ratio27+MAX(G61-Enroll27,0)/Ratio27+MAX(G62-0.5*MAX(Enroll27-G61,0),0)/Ratio27,IF(RatioMode="half",Staff27+G62/Ratio27+(0.5/K_V)*MIN(G61-Enroll27,0)/Ratio27+MAX(G61-Enroll27,0)/Ratio27,G32/G64))))</f>
        <v/>
      </c>
      <c r="H65" s="37">
        <f>IF(AND(FillCap=1,RatioMode="keep"),Staff27+MAX(H32-Enroll27,0)/Ratio27,IF(RatioMode="keep",Staff27+H62/Ratio27,IF(AND(FillCap=1,RatioMode="half"),Staff27+(0.5/K_V)*MIN(H61-Enroll27,0)/Ratio27+MAX(H61-Enroll27,0)/Ratio27+MAX(H62-0.5*MAX(Enroll27-H61,0),0)/Ratio27,IF(RatioMode="half",Staff27+H62/Ratio27+(0.5/K_V)*MIN(H61-Enroll27,0)/Ratio27+MAX(H61-Enroll27,0)/Ratio27,H32/H64))))</f>
        <v/>
      </c>
      <c r="I65" s="37">
        <f>IF(AND(FillCap=1,RatioMode="keep"),Staff27+MAX(I32-Enroll27,0)/Ratio27,IF(RatioMode="keep",Staff27+I62/Ratio27,IF(AND(FillCap=1,RatioMode="half"),Staff27+(0.5/K_V)*MIN(I61-Enroll27,0)/Ratio27+MAX(I61-Enroll27,0)/Ratio27+MAX(I62-0.5*MAX(Enroll27-I61,0),0)/Ratio27,IF(RatioMode="half",Staff27+I62/Ratio27+(0.5/K_V)*MIN(I61-Enroll27,0)/Ratio27+MAX(I61-Enroll27,0)/Ratio27,I32/I64))))</f>
        <v/>
      </c>
      <c r="J65" s="37">
        <f>IF(AND(FillCap=1,RatioMode="keep"),Staff27+MAX(J32-Enroll27,0)/Ratio27,IF(RatioMode="keep",Staff27+J62/Ratio27,IF(AND(FillCap=1,RatioMode="half"),Staff27+(0.5/K_V)*MIN(J61-Enroll27,0)/Ratio27+MAX(J61-Enroll27,0)/Ratio27+MAX(J62-0.5*MAX(Enroll27-J61,0),0)/Ratio27,IF(RatioMode="half",Staff27+J62/Ratio27+(0.5/K_V)*MIN(J61-Enroll27,0)/Ratio27+MAX(J61-Enroll27,0)/Ratio27,J32/J64))))</f>
        <v/>
      </c>
      <c r="K65" s="37">
        <f>IF(AND(FillCap=1,RatioMode="keep"),Staff27+MAX(K32-Enroll27,0)/Ratio27,IF(RatioMode="keep",Staff27+K62/Ratio27,IF(AND(FillCap=1,RatioMode="half"),Staff27+(0.5/K_V)*MIN(K61-Enroll27,0)/Ratio27+MAX(K61-Enroll27,0)/Ratio27+MAX(K62-0.5*MAX(Enroll27-K61,0),0)/Ratio27,IF(RatioMode="half",Staff27+K62/Ratio27+(0.5/K_V)*MIN(K61-Enroll27,0)/Ratio27+MAX(K61-Enroll27,0)/Ratio27,K32/K64))))</f>
        <v/>
      </c>
      <c r="L65" s="37">
        <f>IF(AND(FillCap=1,RatioMode="keep"),Staff27+MAX(L32-Enroll27,0)/Ratio27,IF(RatioMode="keep",Staff27+L62/Ratio27,IF(AND(FillCap=1,RatioMode="half"),Staff27+(0.5/K_V)*MIN(L61-Enroll27,0)/Ratio27+MAX(L61-Enroll27,0)/Ratio27+MAX(L62-0.5*MAX(Enroll27-L61,0),0)/Ratio27,IF(RatioMode="half",Staff27+L62/Ratio27+(0.5/K_V)*MIN(L61-Enroll27,0)/Ratio27+MAX(L61-Enroll27,0)/Ratio27,L32/L64))))</f>
        <v/>
      </c>
      <c r="M65" s="37">
        <f>IF(AND(FillCap=1,RatioMode="keep"),Staff27+MAX(M32-Enroll27,0)/Ratio27,IF(RatioMode="keep",Staff27+M62/Ratio27,IF(AND(FillCap=1,RatioMode="half"),Staff27+(0.5/K_V)*MIN(M61-Enroll27,0)/Ratio27+MAX(M61-Enroll27,0)/Ratio27+MAX(M62-0.5*MAX(Enroll27-M61,0),0)/Ratio27,IF(RatioMode="half",Staff27+M62/Ratio27+(0.5/K_V)*MIN(M61-Enroll27,0)/Ratio27+MAX(M61-Enroll27,0)/Ratio27,M32/M64))))</f>
        <v/>
      </c>
      <c r="N65" s="37">
        <f>IF(AND(FillCap=1,RatioMode="keep"),Staff27+MAX(N32-Enroll27,0)/Ratio27,IF(RatioMode="keep",Staff27+N62/Ratio27,IF(AND(FillCap=1,RatioMode="half"),Staff27+(0.5/K_V)*MIN(N61-Enroll27,0)/Ratio27+MAX(N61-Enroll27,0)/Ratio27+MAX(N62-0.5*MAX(Enroll27-N61,0),0)/Ratio27,IF(RatioMode="half",Staff27+N62/Ratio27+(0.5/K_V)*MIN(N61-Enroll27,0)/Ratio27+MAX(N61-Enroll27,0)/Ratio27,N32/N64))))</f>
        <v/>
      </c>
      <c r="O65" s="37">
        <f>IF(AND(FillCap=1,RatioMode="keep"),Staff27+MAX(O32-Enroll27,0)/Ratio27,IF(RatioMode="keep",Staff27+O62/Ratio27,IF(AND(FillCap=1,RatioMode="half"),Staff27+(0.5/K_V)*MIN(O61-Enroll27,0)/Ratio27+MAX(O61-Enroll27,0)/Ratio27+MAX(O62-0.5*MAX(Enroll27-O61,0),0)/Ratio27,IF(RatioMode="half",Staff27+O62/Ratio27+(0.5/K_V)*MIN(O61-Enroll27,0)/Ratio27+MAX(O61-Enroll27,0)/Ratio27,O32/O64))))</f>
        <v/>
      </c>
      <c r="P65" s="37">
        <f>IF(AND(FillCap=1,RatioMode="keep"),Staff27+MAX(P32-Enroll27,0)/Ratio27,IF(RatioMode="keep",Staff27+P62/Ratio27,IF(AND(FillCap=1,RatioMode="half"),Staff27+(0.5/K_V)*MIN(P61-Enroll27,0)/Ratio27+MAX(P61-Enroll27,0)/Ratio27+MAX(P62-0.5*MAX(Enroll27-P61,0),0)/Ratio27,IF(RatioMode="half",Staff27+P62/Ratio27+(0.5/K_V)*MIN(P61-Enroll27,0)/Ratio27+MAX(P61-Enroll27,0)/Ratio27,P32/P64))))</f>
        <v/>
      </c>
      <c r="Q65" s="37">
        <f>IF(AND(FillCap=1,RatioMode="keep"),Staff27+MAX(Q32-Enroll27,0)/Ratio27,IF(RatioMode="keep",Staff27+Q62/Ratio27,IF(AND(FillCap=1,RatioMode="half"),Staff27+(0.5/K_V)*MIN(Q61-Enroll27,0)/Ratio27+MAX(Q61-Enroll27,0)/Ratio27+MAX(Q62-0.5*MAX(Enroll27-Q61,0),0)/Ratio27,IF(RatioMode="half",Staff27+Q62/Ratio27+(0.5/K_V)*MIN(Q61-Enroll27,0)/Ratio27+MAX(Q61-Enroll27,0)/Ratio27,Q32/Q64))))</f>
        <v/>
      </c>
    </row>
    <row r="66">
      <c r="A66" t="inlineStr">
        <is>
          <t>Town pay index, weighted for Public Safety</t>
        </is>
      </c>
      <c r="D66" s="40">
        <f>K_psD*D56+(1-K_psD)*D55</f>
        <v/>
      </c>
      <c r="E66" s="40">
        <f>K_psD*E56+(1-K_psD)*E55</f>
        <v/>
      </c>
      <c r="F66" s="40">
        <f>K_psD*F56+(1-K_psD)*F55</f>
        <v/>
      </c>
      <c r="G66" s="40">
        <f>K_psD*G56+(1-K_psD)*G55</f>
        <v/>
      </c>
      <c r="H66" s="40">
        <f>K_psD*H56+(1-K_psD)*H55</f>
        <v/>
      </c>
      <c r="I66" s="40">
        <f>K_psD*I56+(1-K_psD)*I55</f>
        <v/>
      </c>
      <c r="J66" s="40">
        <f>K_psD*J56+(1-K_psD)*J55</f>
        <v/>
      </c>
      <c r="K66" s="40">
        <f>K_psD*K56+(1-K_psD)*K55</f>
        <v/>
      </c>
      <c r="L66" s="40">
        <f>K_psD*L56+(1-K_psD)*L55</f>
        <v/>
      </c>
      <c r="M66" s="40">
        <f>K_psD*M56+(1-K_psD)*M55</f>
        <v/>
      </c>
      <c r="N66" s="40">
        <f>K_psD*N56+(1-K_psD)*N55</f>
        <v/>
      </c>
      <c r="O66" s="40">
        <f>K_psD*O56+(1-K_psD)*O55</f>
        <v/>
      </c>
      <c r="P66" s="40">
        <f>K_psD*P56+(1-K_psD)*P55</f>
        <v/>
      </c>
      <c r="Q66" s="40">
        <f>K_psD*Q56+(1-K_psD)*Q55</f>
        <v/>
      </c>
    </row>
    <row r="67">
      <c r="A67" t="inlineStr">
        <is>
          <t>Added commercial employees</t>
        </is>
      </c>
      <c r="D67" s="37">
        <f>D53/K_SqftPerEmp+K_ChcaEmp*D54</f>
        <v/>
      </c>
      <c r="E67" s="37">
        <f>E53/K_SqftPerEmp+K_ChcaEmp*E54</f>
        <v/>
      </c>
      <c r="F67" s="37">
        <f>F53/K_SqftPerEmp+K_ChcaEmp*F54</f>
        <v/>
      </c>
      <c r="G67" s="37">
        <f>G53/K_SqftPerEmp+K_ChcaEmp*G54</f>
        <v/>
      </c>
      <c r="H67" s="37">
        <f>H53/K_SqftPerEmp+K_ChcaEmp*H54</f>
        <v/>
      </c>
      <c r="I67" s="37">
        <f>I53/K_SqftPerEmp+K_ChcaEmp*I54</f>
        <v/>
      </c>
      <c r="J67" s="37">
        <f>J53/K_SqftPerEmp+K_ChcaEmp*J54</f>
        <v/>
      </c>
      <c r="K67" s="37">
        <f>K53/K_SqftPerEmp+K_ChcaEmp*K54</f>
        <v/>
      </c>
      <c r="L67" s="37">
        <f>L53/K_SqftPerEmp+K_ChcaEmp*L54</f>
        <v/>
      </c>
      <c r="M67" s="37">
        <f>M53/K_SqftPerEmp+K_ChcaEmp*M54</f>
        <v/>
      </c>
      <c r="N67" s="37">
        <f>N53/K_SqftPerEmp+K_ChcaEmp*N54</f>
        <v/>
      </c>
      <c r="O67" s="37">
        <f>O53/K_SqftPerEmp+K_ChcaEmp*O54</f>
        <v/>
      </c>
      <c r="P67" s="37">
        <f>P53/K_SqftPerEmp+K_ChcaEmp*P54</f>
        <v/>
      </c>
      <c r="Q67" s="37">
        <f>Q53/K_SqftPerEmp+K_ChcaEmp*Q54</f>
        <v/>
      </c>
    </row>
    <row r="68">
      <c r="A68" t="inlineStr">
        <is>
          <t>Payroll index, Town and school staff, weighted by FY2027 pay</t>
        </is>
      </c>
      <c r="D68" s="40">
        <f>(A_TD*K_pD*D66+A_Sch*K_SPS*D57*D33/Staff27)/(A_TD*K_pD+A_Sch*K_SPS)</f>
        <v/>
      </c>
      <c r="E68" s="40">
        <f>(A_TD*K_pD*E66+A_Sch*K_SPS*E57*E33/Staff27)/(A_TD*K_pD+A_Sch*K_SPS)</f>
        <v/>
      </c>
      <c r="F68" s="40">
        <f>(A_TD*K_pD*F66+A_Sch*K_SPS*F57*F33/Staff27)/(A_TD*K_pD+A_Sch*K_SPS)</f>
        <v/>
      </c>
      <c r="G68" s="40">
        <f>(A_TD*K_pD*G66+A_Sch*K_SPS*G57*G33/Staff27)/(A_TD*K_pD+A_Sch*K_SPS)</f>
        <v/>
      </c>
      <c r="H68" s="40">
        <f>(A_TD*K_pD*H66+A_Sch*K_SPS*H57*H33/Staff27)/(A_TD*K_pD+A_Sch*K_SPS)</f>
        <v/>
      </c>
      <c r="I68" s="40">
        <f>(A_TD*K_pD*I66+A_Sch*K_SPS*I57*I33/Staff27)/(A_TD*K_pD+A_Sch*K_SPS)</f>
        <v/>
      </c>
      <c r="J68" s="40">
        <f>(A_TD*K_pD*J66+A_Sch*K_SPS*J57*J33/Staff27)/(A_TD*K_pD+A_Sch*K_SPS)</f>
        <v/>
      </c>
      <c r="K68" s="40">
        <f>(A_TD*K_pD*K66+A_Sch*K_SPS*K57*K33/Staff27)/(A_TD*K_pD+A_Sch*K_SPS)</f>
        <v/>
      </c>
      <c r="L68" s="40">
        <f>(A_TD*K_pD*L66+A_Sch*K_SPS*L57*L33/Staff27)/(A_TD*K_pD+A_Sch*K_SPS)</f>
        <v/>
      </c>
      <c r="M68" s="40">
        <f>(A_TD*K_pD*M66+A_Sch*K_SPS*M57*M33/Staff27)/(A_TD*K_pD+A_Sch*K_SPS)</f>
        <v/>
      </c>
      <c r="N68" s="40">
        <f>(A_TD*K_pD*N66+A_Sch*K_SPS*N57*N33/Staff27)/(A_TD*K_pD+A_Sch*K_SPS)</f>
        <v/>
      </c>
      <c r="O68" s="40">
        <f>(A_TD*K_pD*O66+A_Sch*K_SPS*O57*O33/Staff27)/(A_TD*K_pD+A_Sch*K_SPS)</f>
        <v/>
      </c>
      <c r="P68" s="40">
        <f>(A_TD*K_pD*P66+A_Sch*K_SPS*P57*P33/Staff27)/(A_TD*K_pD+A_Sch*K_SPS)</f>
        <v/>
      </c>
      <c r="Q68" s="40">
        <f>(A_TD*K_pD*Q66+A_Sch*K_SPS*Q57*Q33/Staff27)/(A_TD*K_pD+A_Sch*K_SPS)</f>
        <v/>
      </c>
    </row>
    <row r="69">
      <c r="A69" t="inlineStr">
        <is>
          <t>Pensions on schedule (before any slip)</t>
        </is>
      </c>
      <c r="D69" s="22">
        <f>A_Pen</f>
        <v/>
      </c>
      <c r="E69" s="22">
        <f>Data!E26</f>
        <v/>
      </c>
      <c r="F69" s="22">
        <f>Data!F26</f>
        <v/>
      </c>
      <c r="G69" s="22">
        <f>Data!G26</f>
        <v/>
      </c>
      <c r="H69" s="22">
        <f>Data!H26</f>
        <v/>
      </c>
      <c r="I69" s="22">
        <f>Data!$H$26*(1+PayTown+K_PenNCPrem)^(I$4-2031)</f>
        <v/>
      </c>
      <c r="J69" s="22">
        <f>Data!$H$26*(1+PayTown+K_PenNCPrem)^(J$4-2031)</f>
        <v/>
      </c>
      <c r="K69" s="22">
        <f>Data!$H$26*(1+PayTown+K_PenNCPrem)^(K$4-2031)</f>
        <v/>
      </c>
      <c r="L69" s="22">
        <f>Data!$H$26*(1+PayTown+K_PenNCPrem)^(L$4-2031)</f>
        <v/>
      </c>
      <c r="M69" s="22">
        <f>Data!$H$26*(1+PayTown+K_PenNCPrem)^(M$4-2031)</f>
        <v/>
      </c>
      <c r="N69" s="22">
        <f>Data!$H$26*(1+PayTown+K_PenNCPrem)^(N$4-2031)</f>
        <v/>
      </c>
      <c r="O69" s="22">
        <f>Data!$H$26*(1+PayTown+K_PenNCPrem)^(O$4-2031)</f>
        <v/>
      </c>
      <c r="P69" s="22">
        <f>Data!$H$26*(1+PayTown+K_PenNCPrem)^(P$4-2031)</f>
        <v/>
      </c>
      <c r="Q69" s="22">
        <f>Data!$H$26*(1+PayTown+K_PenNCPrem)^(Q$4-2031)</f>
        <v/>
      </c>
    </row>
    <row r="70">
      <c r="A70" t="inlineStr">
        <is>
          <t>Town and school staff</t>
        </is>
      </c>
      <c r="D70" s="37">
        <f>K_TownFTE+D33</f>
        <v/>
      </c>
      <c r="E70" s="37">
        <f>K_TownFTE+E33</f>
        <v/>
      </c>
      <c r="F70" s="37">
        <f>K_TownFTE+F33</f>
        <v/>
      </c>
      <c r="G70" s="37">
        <f>K_TownFTE+G33</f>
        <v/>
      </c>
      <c r="H70" s="37">
        <f>K_TownFTE+H33</f>
        <v/>
      </c>
      <c r="I70" s="37">
        <f>K_TownFTE+I33</f>
        <v/>
      </c>
      <c r="J70" s="37">
        <f>K_TownFTE+J33</f>
        <v/>
      </c>
      <c r="K70" s="37">
        <f>K_TownFTE+K33</f>
        <v/>
      </c>
      <c r="L70" s="37">
        <f>K_TownFTE+L33</f>
        <v/>
      </c>
      <c r="M70" s="37">
        <f>K_TownFTE+M33</f>
        <v/>
      </c>
      <c r="N70" s="37">
        <f>K_TownFTE+N33</f>
        <v/>
      </c>
      <c r="O70" s="37">
        <f>K_TownFTE+O33</f>
        <v/>
      </c>
      <c r="P70" s="37">
        <f>K_TownFTE+P33</f>
        <v/>
      </c>
      <c r="Q70" s="37">
        <f>K_TownFTE+Q33</f>
        <v/>
      </c>
    </row>
    <row r="71">
      <c r="A71" t="inlineStr">
        <is>
          <t>Health plan subscribers index</t>
        </is>
      </c>
      <c r="D71" s="40">
        <f>K_ActShare*D70/AllStaff27+(1-K_ActShare)*(1+K_RetGrowth)^(D$4-2027)</f>
        <v/>
      </c>
      <c r="E71" s="40">
        <f>K_ActShare*E70/AllStaff27+(1-K_ActShare)*(1+K_RetGrowth)^(E$4-2027)</f>
        <v/>
      </c>
      <c r="F71" s="40">
        <f>K_ActShare*F70/AllStaff27+(1-K_ActShare)*(1+K_RetGrowth)^(F$4-2027)</f>
        <v/>
      </c>
      <c r="G71" s="40">
        <f>K_ActShare*G70/AllStaff27+(1-K_ActShare)*(1+K_RetGrowth)^(G$4-2027)</f>
        <v/>
      </c>
      <c r="H71" s="40">
        <f>K_ActShare*H70/AllStaff27+(1-K_ActShare)*(1+K_RetGrowth)^(H$4-2027)</f>
        <v/>
      </c>
      <c r="I71" s="40">
        <f>K_ActShare*I70/AllStaff27+(1-K_ActShare)*(1+K_RetGrowth)^(I$4-2027)</f>
        <v/>
      </c>
      <c r="J71" s="40">
        <f>K_ActShare*J70/AllStaff27+(1-K_ActShare)*(1+K_RetGrowth)^(J$4-2027)</f>
        <v/>
      </c>
      <c r="K71" s="40">
        <f>K_ActShare*K70/AllStaff27+(1-K_ActShare)*(1+K_RetGrowth)^(K$4-2027)</f>
        <v/>
      </c>
      <c r="L71" s="40">
        <f>K_ActShare*L70/AllStaff27+(1-K_ActShare)*(1+K_RetGrowth)^(L$4-2027)</f>
        <v/>
      </c>
      <c r="M71" s="40">
        <f>K_ActShare*M70/AllStaff27+(1-K_ActShare)*(1+K_RetGrowth)^(M$4-2027)</f>
        <v/>
      </c>
      <c r="N71" s="40">
        <f>K_ActShare*N70/AllStaff27+(1-K_ActShare)*(1+K_RetGrowth)^(N$4-2027)</f>
        <v/>
      </c>
      <c r="O71" s="40">
        <f>K_ActShare*O70/AllStaff27+(1-K_ActShare)*(1+K_RetGrowth)^(O$4-2027)</f>
        <v/>
      </c>
      <c r="P71" s="40">
        <f>K_ActShare*P70/AllStaff27+(1-K_ActShare)*(1+K_RetGrowth)^(P$4-2027)</f>
        <v/>
      </c>
      <c r="Q71" s="40">
        <f>K_ActShare*Q70/AllStaff27+(1-K_ActShare)*(1+K_RetGrowth)^(Q$4-2027)</f>
        <v/>
      </c>
    </row>
    <row r="72">
      <c r="A72" t="inlineStr">
        <is>
          <t>State aid</t>
        </is>
      </c>
      <c r="C72" s="22">
        <f>R_SA2026</f>
        <v/>
      </c>
      <c r="D72" s="22">
        <f>R_SA2027*(1+StateAidGrowth)^(D$4-2027)</f>
        <v/>
      </c>
      <c r="E72" s="22">
        <f>R_SA2027*(1+StateAidGrowth)^(E$4-2027)</f>
        <v/>
      </c>
      <c r="F72" s="22">
        <f>R_SA2027*(1+StateAidGrowth)^(F$4-2027)</f>
        <v/>
      </c>
      <c r="G72" s="22">
        <f>R_SA2027*(1+StateAidGrowth)^(G$4-2027)</f>
        <v/>
      </c>
      <c r="H72" s="22">
        <f>R_SA2027*(1+StateAidGrowth)^(H$4-2027)</f>
        <v/>
      </c>
      <c r="I72" s="22">
        <f>R_SA2027*(1+StateAidGrowth)^(I$4-2027)</f>
        <v/>
      </c>
      <c r="J72" s="22">
        <f>R_SA2027*(1+StateAidGrowth)^(J$4-2027)</f>
        <v/>
      </c>
      <c r="K72" s="22">
        <f>R_SA2027*(1+StateAidGrowth)^(K$4-2027)</f>
        <v/>
      </c>
      <c r="L72" s="22">
        <f>R_SA2027*(1+StateAidGrowth)^(L$4-2027)</f>
        <v/>
      </c>
      <c r="M72" s="22">
        <f>R_SA2027*(1+StateAidGrowth)^(M$4-2027)</f>
        <v/>
      </c>
      <c r="N72" s="22">
        <f>R_SA2027*(1+StateAidGrowth)^(N$4-2027)</f>
        <v/>
      </c>
      <c r="O72" s="22">
        <f>R_SA2027*(1+StateAidGrowth)^(O$4-2027)</f>
        <v/>
      </c>
      <c r="P72" s="22">
        <f>R_SA2027*(1+StateAidGrowth)^(P$4-2027)</f>
        <v/>
      </c>
      <c r="Q72" s="22">
        <f>R_SA2027*(1+StateAidGrowth)^(Q$4-2027)</f>
        <v/>
      </c>
    </row>
    <row r="73">
      <c r="A73" t="inlineStr">
        <is>
          <t>Local receipts, actual</t>
        </is>
      </c>
      <c r="C73" s="22">
        <f>C50+R_LRresid2025*(1+ReceiptsGrowth)^(C$4-2025)</f>
        <v/>
      </c>
      <c r="D73" s="22">
        <f>D50+R_LRresid2025*(1+ReceiptsGrowth)^(D$4-2025)</f>
        <v/>
      </c>
      <c r="E73" s="22">
        <f>E50+R_LRresid2025*(1+ReceiptsGrowth)^(E$4-2025)</f>
        <v/>
      </c>
      <c r="F73" s="22">
        <f>F50+R_LRresid2025*(1+ReceiptsGrowth)^(F$4-2025)</f>
        <v/>
      </c>
      <c r="G73" s="22">
        <f>G50+R_LRresid2025*(1+ReceiptsGrowth)^(G$4-2025)</f>
        <v/>
      </c>
      <c r="H73" s="22">
        <f>H50+R_LRresid2025*(1+ReceiptsGrowth)^(H$4-2025)</f>
        <v/>
      </c>
      <c r="I73" s="22">
        <f>I50+R_LRresid2025*(1+ReceiptsGrowth)^(I$4-2025)</f>
        <v/>
      </c>
      <c r="J73" s="22">
        <f>J50+R_LRresid2025*(1+ReceiptsGrowth)^(J$4-2025)</f>
        <v/>
      </c>
      <c r="K73" s="22">
        <f>K50+R_LRresid2025*(1+ReceiptsGrowth)^(K$4-2025)</f>
        <v/>
      </c>
      <c r="L73" s="22">
        <f>L50+R_LRresid2025*(1+ReceiptsGrowth)^(L$4-2025)</f>
        <v/>
      </c>
      <c r="M73" s="22">
        <f>M50+R_LRresid2025*(1+ReceiptsGrowth)^(M$4-2025)</f>
        <v/>
      </c>
      <c r="N73" s="22">
        <f>N50+R_LRresid2025*(1+ReceiptsGrowth)^(N$4-2025)</f>
        <v/>
      </c>
      <c r="O73" s="22">
        <f>O50+R_LRresid2025*(1+ReceiptsGrowth)^(O$4-2025)</f>
        <v/>
      </c>
      <c r="P73" s="22">
        <f>P50+R_LRresid2025*(1+ReceiptsGrowth)^(P$4-2025)</f>
        <v/>
      </c>
      <c r="Q73" s="22">
        <f>Q50+R_LRresid2025*(1+ReceiptsGrowth)^(Q$4-2025)</f>
        <v/>
      </c>
    </row>
    <row r="74">
      <c r="A74" t="inlineStr">
        <is>
          <t>Further override</t>
        </is>
      </c>
      <c r="C74" s="22">
        <f>IF(AND(OvAmt&gt;0,C$4&gt;=OvYear),OvAmt*(1+K_LevyCap)^(C$4-OvYear),0)</f>
        <v/>
      </c>
      <c r="D74" s="22">
        <f>IF(AND(OvAmt&gt;0,D$4&gt;=OvYear),OvAmt*(1+K_LevyCap)^(D$4-OvYear),0)</f>
        <v/>
      </c>
      <c r="E74" s="22">
        <f>IF(AND(OvAmt&gt;0,E$4&gt;=OvYear),OvAmt*(1+K_LevyCap)^(E$4-OvYear),0)</f>
        <v/>
      </c>
      <c r="F74" s="22">
        <f>IF(AND(OvAmt&gt;0,F$4&gt;=OvYear),OvAmt*(1+K_LevyCap)^(F$4-OvYear),0)</f>
        <v/>
      </c>
      <c r="G74" s="22">
        <f>IF(AND(OvAmt&gt;0,G$4&gt;=OvYear),OvAmt*(1+K_LevyCap)^(G$4-OvYear),0)</f>
        <v/>
      </c>
      <c r="H74" s="22">
        <f>IF(AND(OvAmt&gt;0,H$4&gt;=OvYear),OvAmt*(1+K_LevyCap)^(H$4-OvYear),0)</f>
        <v/>
      </c>
      <c r="I74" s="22">
        <f>IF(AND(OvAmt&gt;0,I$4&gt;=OvYear),OvAmt*(1+K_LevyCap)^(I$4-OvYear),0)</f>
        <v/>
      </c>
      <c r="J74" s="22">
        <f>IF(AND(OvAmt&gt;0,J$4&gt;=OvYear),OvAmt*(1+K_LevyCap)^(J$4-OvYear),0)</f>
        <v/>
      </c>
      <c r="K74" s="22">
        <f>IF(AND(OvAmt&gt;0,K$4&gt;=OvYear),OvAmt*(1+K_LevyCap)^(K$4-OvYear),0)</f>
        <v/>
      </c>
      <c r="L74" s="22">
        <f>IF(AND(OvAmt&gt;0,L$4&gt;=OvYear),OvAmt*(1+K_LevyCap)^(L$4-OvYear),0)</f>
        <v/>
      </c>
      <c r="M74" s="22">
        <f>IF(AND(OvAmt&gt;0,M$4&gt;=OvYear),OvAmt*(1+K_LevyCap)^(M$4-OvYear),0)</f>
        <v/>
      </c>
      <c r="N74" s="22">
        <f>IF(AND(OvAmt&gt;0,N$4&gt;=OvYear),OvAmt*(1+K_LevyCap)^(N$4-OvYear),0)</f>
        <v/>
      </c>
      <c r="O74" s="22">
        <f>IF(AND(OvAmt&gt;0,O$4&gt;=OvYear),OvAmt*(1+K_LevyCap)^(O$4-OvYear),0)</f>
        <v/>
      </c>
      <c r="P74" s="22">
        <f>IF(AND(OvAmt&gt;0,P$4&gt;=OvYear),OvAmt*(1+K_LevyCap)^(P$4-OvYear),0)</f>
        <v/>
      </c>
      <c r="Q74" s="22">
        <f>IF(AND(OvAmt&gt;0,Q$4&gt;=OvYear),OvAmt*(1+K_LevyCap)^(Q$4-OvYear),0)</f>
        <v/>
      </c>
    </row>
    <row r="75">
      <c r="A75" t="inlineStr">
        <is>
          <t>Revenue before receipts and free cash</t>
        </is>
      </c>
      <c r="C75" s="22">
        <f>C47+C72+C49+C74</f>
        <v/>
      </c>
      <c r="D75" s="22">
        <f>D47+D72+D49+D74</f>
        <v/>
      </c>
      <c r="E75" s="22">
        <f>E47+E72+E49+E74</f>
        <v/>
      </c>
      <c r="F75" s="22">
        <f>F47+F72+F49+F74</f>
        <v/>
      </c>
      <c r="G75" s="22">
        <f>G47+G72+G49+G74</f>
        <v/>
      </c>
      <c r="H75" s="22">
        <f>H47+H72+H49+H74</f>
        <v/>
      </c>
      <c r="I75" s="22">
        <f>I47+I72+I49+I74</f>
        <v/>
      </c>
      <c r="J75" s="22">
        <f>J47+J72+J49+J74</f>
        <v/>
      </c>
      <c r="K75" s="22">
        <f>K47+K72+K49+K74</f>
        <v/>
      </c>
      <c r="L75" s="22">
        <f>L47+L72+L49+L74</f>
        <v/>
      </c>
      <c r="M75" s="22">
        <f>M47+M72+M49+M74</f>
        <v/>
      </c>
      <c r="N75" s="22">
        <f>N47+N72+N49+N74</f>
        <v/>
      </c>
      <c r="O75" s="22">
        <f>O47+O72+O49+O74</f>
        <v/>
      </c>
      <c r="P75" s="22">
        <f>P47+P72+P49+P74</f>
        <v/>
      </c>
      <c r="Q75" s="22">
        <f>Q47+Q72+Q49+Q74</f>
        <v/>
      </c>
    </row>
    <row r="76">
      <c r="A76" t="inlineStr">
        <is>
          <t>Local receipts, budgeted</t>
        </is>
      </c>
      <c r="C76" s="22">
        <f>Data!C36</f>
        <v/>
      </c>
      <c r="D76" s="22">
        <f>Data!D36</f>
        <v/>
      </c>
      <c r="E76" s="22">
        <f>E73*R_BudgetRatio</f>
        <v/>
      </c>
      <c r="F76" s="22">
        <f>F73*R_BudgetRatio</f>
        <v/>
      </c>
      <c r="G76" s="22">
        <f>G73*R_BudgetRatio</f>
        <v/>
      </c>
      <c r="H76" s="22">
        <f>H73*R_BudgetRatio</f>
        <v/>
      </c>
      <c r="I76" s="22">
        <f>I73*R_BudgetRatio</f>
        <v/>
      </c>
      <c r="J76" s="22">
        <f>J73*R_BudgetRatio</f>
        <v/>
      </c>
      <c r="K76" s="22">
        <f>K73*R_BudgetRatio</f>
        <v/>
      </c>
      <c r="L76" s="22">
        <f>L73*R_BudgetRatio</f>
        <v/>
      </c>
      <c r="M76" s="22">
        <f>M73*R_BudgetRatio</f>
        <v/>
      </c>
      <c r="N76" s="22">
        <f>N73*R_BudgetRatio</f>
        <v/>
      </c>
      <c r="O76" s="22">
        <f>O73*R_BudgetRatio</f>
        <v/>
      </c>
      <c r="P76" s="22">
        <f>P73*R_BudgetRatio</f>
        <v/>
      </c>
      <c r="Q76" s="22">
        <f>Q73*R_BudgetRatio</f>
        <v/>
      </c>
    </row>
    <row r="77">
      <c r="A77" t="inlineStr">
        <is>
          <t>Free cash</t>
        </is>
      </c>
      <c r="C77" s="22">
        <f>Data!C38</f>
        <v/>
      </c>
      <c r="D77" s="22">
        <f>Data!D38</f>
        <v/>
      </c>
      <c r="E77" s="22">
        <f>R_ApprShare*C80</f>
        <v/>
      </c>
      <c r="F77" s="22">
        <f>R_ApprShare*D80</f>
        <v/>
      </c>
      <c r="G77" s="22">
        <f>R_ApprShare*E80</f>
        <v/>
      </c>
      <c r="H77" s="22">
        <f>R_ApprShare*F80</f>
        <v/>
      </c>
      <c r="I77" s="22">
        <f>R_ApprShare*G80</f>
        <v/>
      </c>
      <c r="J77" s="22">
        <f>R_ApprShare*H80</f>
        <v/>
      </c>
      <c r="K77" s="22">
        <f>R_ApprShare*I80</f>
        <v/>
      </c>
      <c r="L77" s="22">
        <f>R_ApprShare*J80</f>
        <v/>
      </c>
      <c r="M77" s="22">
        <f>R_ApprShare*K80</f>
        <v/>
      </c>
      <c r="N77" s="22">
        <f>R_ApprShare*L80</f>
        <v/>
      </c>
      <c r="O77" s="22">
        <f>R_ApprShare*M80</f>
        <v/>
      </c>
      <c r="P77" s="22">
        <f>R_ApprShare*N80</f>
        <v/>
      </c>
      <c r="Q77" s="22">
        <f>R_ApprShare*O80</f>
        <v/>
      </c>
    </row>
    <row r="78">
      <c r="A78" t="inlineStr">
        <is>
          <t>Revenue including debt exclusion tax</t>
        </is>
      </c>
      <c r="C78" s="22">
        <f>C75+C76+C77</f>
        <v/>
      </c>
      <c r="D78" s="22">
        <f>D75+D76+D77</f>
        <v/>
      </c>
      <c r="E78" s="22">
        <f>E75+E76+E77</f>
        <v/>
      </c>
      <c r="F78" s="22">
        <f>F75+F76+F77</f>
        <v/>
      </c>
      <c r="G78" s="22">
        <f>G75+G76+G77</f>
        <v/>
      </c>
      <c r="H78" s="22">
        <f>H75+H76+H77</f>
        <v/>
      </c>
      <c r="I78" s="22">
        <f>I75+I76+I77</f>
        <v/>
      </c>
      <c r="J78" s="22">
        <f>J75+J76+J77</f>
        <v/>
      </c>
      <c r="K78" s="22">
        <f>K75+K76+K77</f>
        <v/>
      </c>
      <c r="L78" s="22">
        <f>L75+L76+L77</f>
        <v/>
      </c>
      <c r="M78" s="22">
        <f>M75+M76+M77</f>
        <v/>
      </c>
      <c r="N78" s="22">
        <f>N75+N76+N77</f>
        <v/>
      </c>
      <c r="O78" s="22">
        <f>O75+O76+O77</f>
        <v/>
      </c>
      <c r="P78" s="22">
        <f>P75+P76+P77</f>
        <v/>
      </c>
      <c r="Q78" s="22">
        <f>Q75+Q76+Q77</f>
        <v/>
      </c>
    </row>
    <row r="79">
      <c r="A79" t="inlineStr">
        <is>
          <t>Net revenue for the capital policy (less debt exclusions, free cash, non-appropriated items and any further override)</t>
        </is>
      </c>
      <c r="C79" s="22">
        <f>C78-C48-C77-C74-K_NonApp*(1+K_NonAppG)^(C$4-2027)</f>
        <v/>
      </c>
      <c r="D79" s="22">
        <f>D78-D48-D77-D74-K_NonApp*(1+K_NonAppG)^(D$4-2027)</f>
        <v/>
      </c>
      <c r="E79" s="22">
        <f>E78-E48-E77-E74-K_NonApp*(1+K_NonAppG)^(E$4-2027)</f>
        <v/>
      </c>
      <c r="F79" s="22">
        <f>F78-F48-F77-F74-K_NonApp*(1+K_NonAppG)^(F$4-2027)</f>
        <v/>
      </c>
      <c r="G79" s="22">
        <f>G78-G48-G77-G74-K_NonApp*(1+K_NonAppG)^(G$4-2027)</f>
        <v/>
      </c>
      <c r="H79" s="22">
        <f>H78-H48-H77-H74-K_NonApp*(1+K_NonAppG)^(H$4-2027)</f>
        <v/>
      </c>
      <c r="I79" s="22">
        <f>I78-I48-I77-I74-K_NonApp*(1+K_NonAppG)^(I$4-2027)</f>
        <v/>
      </c>
      <c r="J79" s="22">
        <f>J78-J48-J77-J74-K_NonApp*(1+K_NonAppG)^(J$4-2027)</f>
        <v/>
      </c>
      <c r="K79" s="22">
        <f>K78-K48-K77-K74-K_NonApp*(1+K_NonAppG)^(K$4-2027)</f>
        <v/>
      </c>
      <c r="L79" s="22">
        <f>L78-L48-L77-L74-K_NonApp*(1+K_NonAppG)^(L$4-2027)</f>
        <v/>
      </c>
      <c r="M79" s="22">
        <f>M78-M48-M77-M74-K_NonApp*(1+K_NonAppG)^(M$4-2027)</f>
        <v/>
      </c>
      <c r="N79" s="22">
        <f>N78-N48-N77-N74-K_NonApp*(1+K_NonAppG)^(N$4-2027)</f>
        <v/>
      </c>
      <c r="O79" s="22">
        <f>O78-O48-O77-O74-K_NonApp*(1+K_NonAppG)^(O$4-2027)</f>
        <v/>
      </c>
      <c r="P79" s="22">
        <f>P78-P48-P77-P74-K_NonApp*(1+K_NonAppG)^(P$4-2027)</f>
        <v/>
      </c>
      <c r="Q79" s="22">
        <f>Q78-Q48-Q77-Q74-K_NonApp*(1+K_NonAppG)^(Q$4-2027)</f>
        <v/>
      </c>
    </row>
    <row r="80">
      <c r="A80" t="inlineStr">
        <is>
          <t>Year-end surplus (returns as free cash two years later)</t>
        </is>
      </c>
      <c r="C80" s="22">
        <f>(C73-C76)+R_OtherSurplus*(C75+C73)</f>
        <v/>
      </c>
      <c r="D80" s="22">
        <f>(D73-D76)+R_OtherSurplus*(D75+D73)</f>
        <v/>
      </c>
      <c r="E80" s="22">
        <f>(E73-E76)+R_OtherSurplus*(E75+E73)</f>
        <v/>
      </c>
      <c r="F80" s="22">
        <f>(F73-F76)+R_OtherSurplus*(F75+F73)</f>
        <v/>
      </c>
      <c r="G80" s="22">
        <f>(G73-G76)+R_OtherSurplus*(G75+G73)</f>
        <v/>
      </c>
      <c r="H80" s="22">
        <f>(H73-H76)+R_OtherSurplus*(H75+H73)</f>
        <v/>
      </c>
      <c r="I80" s="22">
        <f>(I73-I76)+R_OtherSurplus*(I75+I73)</f>
        <v/>
      </c>
      <c r="J80" s="22">
        <f>(J73-J76)+R_OtherSurplus*(J75+J73)</f>
        <v/>
      </c>
      <c r="K80" s="22">
        <f>(K73-K76)+R_OtherSurplus*(K75+K73)</f>
        <v/>
      </c>
      <c r="L80" s="22">
        <f>(L73-L76)+R_OtherSurplus*(L75+L73)</f>
        <v/>
      </c>
      <c r="M80" s="22">
        <f>(M73-M76)+R_OtherSurplus*(M75+M73)</f>
        <v/>
      </c>
      <c r="N80" s="22">
        <f>(N73-N76)+R_OtherSurplus*(N75+N73)</f>
        <v/>
      </c>
      <c r="O80" s="22">
        <f>(O73-O76)+R_OtherSurplus*(O75+O73)</f>
        <v/>
      </c>
      <c r="P80" s="22">
        <f>(P73-P76)+R_OtherSurplus*(P75+P73)</f>
        <v/>
      </c>
      <c r="Q80" s="22">
        <f>(Q73-Q76)+R_OtherSurplus*(Q75+Q73)</f>
        <v/>
      </c>
    </row>
    <row r="81">
      <c r="A81" t="inlineStr">
        <is>
          <t>Retiree health: service cost</t>
        </is>
      </c>
      <c r="D81" s="22">
        <f>K_OpebSC27</f>
        <v/>
      </c>
      <c r="E81" s="22">
        <f>D81*(1+Data!E35)</f>
        <v/>
      </c>
      <c r="F81" s="22">
        <f>E81*(1+Data!F35)</f>
        <v/>
      </c>
      <c r="G81" s="22">
        <f>F81*(1+Data!G35)</f>
        <v/>
      </c>
      <c r="H81" s="22">
        <f>G81*(1+Data!H35)</f>
        <v/>
      </c>
      <c r="I81" s="22">
        <f>H81*(1+Data!I35)</f>
        <v/>
      </c>
      <c r="J81" s="22">
        <f>I81*(1+Data!J35)</f>
        <v/>
      </c>
      <c r="K81" s="22">
        <f>J81*(1+Data!K35)</f>
        <v/>
      </c>
      <c r="L81" s="22">
        <f>K81*(1+K_OpebTrendLong)</f>
        <v/>
      </c>
      <c r="M81" s="22">
        <f>L81*(1+K_OpebTrendLong)</f>
        <v/>
      </c>
      <c r="N81" s="22">
        <f>M81*(1+K_OpebTrendLong)</f>
        <v/>
      </c>
      <c r="O81" s="22">
        <f>N81*(1+K_OpebTrendLong)</f>
        <v/>
      </c>
      <c r="P81" s="22">
        <f>O81*(1+K_OpebTrendLong)</f>
        <v/>
      </c>
      <c r="Q81" s="22">
        <f>P81*(1+K_OpebTrendLong)</f>
        <v/>
      </c>
    </row>
    <row r="82">
      <c r="A82" t="inlineStr">
        <is>
          <t>Retiree health: benefits paid (in group health)</t>
        </is>
      </c>
      <c r="D82" s="22">
        <f>K_OpebB27</f>
        <v/>
      </c>
      <c r="E82" s="22">
        <f>D82*(1+Data!E35)*(1+K_RetGrowth)</f>
        <v/>
      </c>
      <c r="F82" s="22">
        <f>E82*(1+Data!F35)*(1+K_RetGrowth)</f>
        <v/>
      </c>
      <c r="G82" s="22">
        <f>F82*(1+Data!G35)*(1+K_RetGrowth)</f>
        <v/>
      </c>
      <c r="H82" s="22">
        <f>G82*(1+Data!H35)*(1+K_RetGrowth)</f>
        <v/>
      </c>
      <c r="I82" s="22">
        <f>H82*(1+Data!I35)*(1+K_RetGrowth)</f>
        <v/>
      </c>
      <c r="J82" s="22">
        <f>I82*(1+Data!J35)*(1+K_RetGrowth)</f>
        <v/>
      </c>
      <c r="K82" s="22">
        <f>J82*(1+Data!K35)*(1+K_RetGrowth)</f>
        <v/>
      </c>
      <c r="L82" s="22">
        <f>K82*(1+K_OpebTrendLong)*(1+K_RetGrowth)</f>
        <v/>
      </c>
      <c r="M82" s="22">
        <f>L82*(1+K_OpebTrendLong)*(1+K_RetGrowth)</f>
        <v/>
      </c>
      <c r="N82" s="22">
        <f>M82*(1+K_OpebTrendLong)*(1+K_RetGrowth)</f>
        <v/>
      </c>
      <c r="O82" s="22">
        <f>N82*(1+K_OpebTrendLong)*(1+K_RetGrowth)</f>
        <v/>
      </c>
      <c r="P82" s="22">
        <f>O82*(1+K_OpebTrendLong)*(1+K_RetGrowth)</f>
        <v/>
      </c>
      <c r="Q82" s="22">
        <f>P82*(1+K_OpebTrendLong)*(1+K_RetGrowth)</f>
        <v/>
      </c>
    </row>
    <row r="83">
      <c r="A83" t="inlineStr">
        <is>
          <t>Retiree health: total liability, end of year</t>
        </is>
      </c>
      <c r="D83" s="22">
        <f>K_OpebTol27</f>
        <v/>
      </c>
      <c r="E83" s="22">
        <f>D83*(1+K_OpebRate)+E81-E82</f>
        <v/>
      </c>
      <c r="F83" s="22">
        <f>E83*(1+K_OpebRate)+F81-F82</f>
        <v/>
      </c>
      <c r="G83" s="22">
        <f>F83*(1+K_OpebRate)+G81-G82</f>
        <v/>
      </c>
      <c r="H83" s="22">
        <f>G83*(1+K_OpebRate)+H81-H82</f>
        <v/>
      </c>
      <c r="I83" s="22">
        <f>H83*(1+K_OpebRate)+I81-I82</f>
        <v/>
      </c>
      <c r="J83" s="22">
        <f>I83*(1+K_OpebRate)+J81-J82</f>
        <v/>
      </c>
      <c r="K83" s="22">
        <f>J83*(1+K_OpebRate)+K81-K82</f>
        <v/>
      </c>
      <c r="L83" s="22">
        <f>K83*(1+K_OpebRate)+L81-L82</f>
        <v/>
      </c>
      <c r="M83" s="22">
        <f>L83*(1+K_OpebRate)+M81-M82</f>
        <v/>
      </c>
      <c r="N83" s="22">
        <f>M83*(1+K_OpebRate)+N81-N82</f>
        <v/>
      </c>
      <c r="O83" s="22">
        <f>N83*(1+K_OpebRate)+O81-O82</f>
        <v/>
      </c>
      <c r="P83" s="22">
        <f>O83*(1+K_OpebRate)+P81-P82</f>
        <v/>
      </c>
      <c r="Q83" s="22">
        <f>P83*(1+K_OpebRate)+Q81-Q82</f>
        <v/>
      </c>
    </row>
    <row r="84">
      <c r="A84" t="inlineStr">
        <is>
          <t>Retiree health: trust, end of year</t>
        </is>
      </c>
      <c r="D84" s="22">
        <f>K_OpebA27</f>
        <v/>
      </c>
      <c r="E84" s="22">
        <f>MIN(D84*(1+K_OpebRate)+E86,E83)</f>
        <v/>
      </c>
      <c r="F84" s="22">
        <f>MIN(E84*(1+K_OpebRate)+F86,F83)</f>
        <v/>
      </c>
      <c r="G84" s="22">
        <f>MIN(F84*(1+K_OpebRate)+G86,G83)</f>
        <v/>
      </c>
      <c r="H84" s="22">
        <f>MIN(G84*(1+K_OpebRate)+H86,H83)</f>
        <v/>
      </c>
      <c r="I84" s="22">
        <f>MIN(H84*(1+K_OpebRate)+I86,I83)</f>
        <v/>
      </c>
      <c r="J84" s="22">
        <f>MIN(I84*(1+K_OpebRate)+J86,J83)</f>
        <v/>
      </c>
      <c r="K84" s="22">
        <f>MIN(J84*(1+K_OpebRate)+K86,K83)</f>
        <v/>
      </c>
      <c r="L84" s="22">
        <f>MIN(K84*(1+K_OpebRate)+L86,L83)</f>
        <v/>
      </c>
      <c r="M84" s="22">
        <f>MIN(L84*(1+K_OpebRate)+M86,M83)</f>
        <v/>
      </c>
      <c r="N84" s="22">
        <f>MIN(M84*(1+K_OpebRate)+N86,N83)</f>
        <v/>
      </c>
      <c r="O84" s="22">
        <f>MIN(N84*(1+K_OpebRate)+O86,O83)</f>
        <v/>
      </c>
      <c r="P84" s="22">
        <f>MIN(O84*(1+K_OpebRate)+P86,P83)</f>
        <v/>
      </c>
      <c r="Q84" s="22">
        <f>MIN(P84*(1+K_OpebRate)+Q86,Q83)</f>
        <v/>
      </c>
    </row>
    <row r="85">
      <c r="A85" t="inlineStr">
        <is>
          <t>Retiree health: planned deposit</t>
        </is>
      </c>
      <c r="D85" s="22">
        <f>A_OPEB</f>
        <v/>
      </c>
      <c r="E85" s="22">
        <f>Data!E27</f>
        <v/>
      </c>
      <c r="F85" s="22">
        <f>Data!F27</f>
        <v/>
      </c>
      <c r="G85" s="22">
        <f>Data!G27+IF(AND(AND(PensionSlip&gt;0,G$4&gt;=2030,G$4&lt;=2030+PensionSlip),Redirect=1),G69-G21,0)</f>
        <v/>
      </c>
      <c r="H85" s="22">
        <f>IF(Redirect=1,Data!$H$27,Data!$G$27+K_OPEBStep*(H$4-2030))+IF(AND(AND(PensionSlip&gt;0,H$4&gt;=2030,H$4&lt;=2030+PensionSlip),Redirect=1),H69-H21,0)</f>
        <v/>
      </c>
      <c r="I85" s="22">
        <f>IF(Redirect=1,Data!$H$27,Data!$G$27+K_OPEBStep*(I$4-2030))+IF(AND(AND(PensionSlip&gt;0,I$4&gt;=2030,I$4&lt;=2030+PensionSlip),Redirect=1),I69-I21,0)</f>
        <v/>
      </c>
      <c r="J85" s="22">
        <f>IF(Redirect=1,Data!$H$27,Data!$G$27+K_OPEBStep*(J$4-2030))+IF(AND(AND(PensionSlip&gt;0,J$4&gt;=2030,J$4&lt;=2030+PensionSlip),Redirect=1),J69-J21,0)</f>
        <v/>
      </c>
      <c r="K85" s="22">
        <f>IF(Redirect=1,Data!$H$27,Data!$G$27+K_OPEBStep*(K$4-2030))+IF(AND(AND(PensionSlip&gt;0,K$4&gt;=2030,K$4&lt;=2030+PensionSlip),Redirect=1),K69-K21,0)</f>
        <v/>
      </c>
      <c r="L85" s="22">
        <f>IF(Redirect=1,Data!$H$27,Data!$G$27+K_OPEBStep*(L$4-2030))+IF(AND(AND(PensionSlip&gt;0,L$4&gt;=2030,L$4&lt;=2030+PensionSlip),Redirect=1),L69-L21,0)</f>
        <v/>
      </c>
      <c r="M85" s="22">
        <f>IF(Redirect=1,Data!$H$27,Data!$G$27+K_OPEBStep*(M$4-2030))+IF(AND(AND(PensionSlip&gt;0,M$4&gt;=2030,M$4&lt;=2030+PensionSlip),Redirect=1),M69-M21,0)</f>
        <v/>
      </c>
      <c r="N85" s="22">
        <f>IF(Redirect=1,Data!$H$27,Data!$G$27+K_OPEBStep*(N$4-2030))+IF(AND(AND(PensionSlip&gt;0,N$4&gt;=2030,N$4&lt;=2030+PensionSlip),Redirect=1),N69-N21,0)</f>
        <v/>
      </c>
      <c r="O85" s="22">
        <f>IF(Redirect=1,Data!$H$27,Data!$G$27+K_OPEBStep*(O$4-2030))+IF(AND(AND(PensionSlip&gt;0,O$4&gt;=2030,O$4&lt;=2030+PensionSlip),Redirect=1),O69-O21,0)</f>
        <v/>
      </c>
      <c r="P85" s="22">
        <f>IF(Redirect=1,Data!$H$27,Data!$G$27+K_OPEBStep*(P$4-2030))+IF(AND(AND(PensionSlip&gt;0,P$4&gt;=2030,P$4&lt;=2030+PensionSlip),Redirect=1),P69-P21,0)</f>
        <v/>
      </c>
      <c r="Q85" s="22">
        <f>IF(Redirect=1,Data!$H$27,Data!$G$27+K_OPEBStep*(Q$4-2030))+IF(AND(AND(PensionSlip&gt;0,Q$4&gt;=2030,Q$4&lt;=2030+PensionSlip),Redirect=1),Q69-Q21,0)</f>
        <v/>
      </c>
    </row>
    <row r="86">
      <c r="A86" t="inlineStr">
        <is>
          <t>Retiree health: deposit, stopping at the payoff</t>
        </is>
      </c>
      <c r="D86" s="22">
        <f>A_OPEB</f>
        <v/>
      </c>
      <c r="E86" s="22">
        <f>MIN(E85,MAX(E83-D84*(1+K_OpebRate),0))</f>
        <v/>
      </c>
      <c r="F86" s="22">
        <f>MIN(F85,MAX(F83-E84*(1+K_OpebRate),0))</f>
        <v/>
      </c>
      <c r="G86" s="22">
        <f>MIN(G85,MAX(G83-F84*(1+K_OpebRate),0))</f>
        <v/>
      </c>
      <c r="H86" s="22">
        <f>MIN(H85,MAX(H83-G84*(1+K_OpebRate),0))</f>
        <v/>
      </c>
      <c r="I86" s="22">
        <f>MIN(I85,MAX(I83-H84*(1+K_OpebRate),0))</f>
        <v/>
      </c>
      <c r="J86" s="22">
        <f>MIN(J85,MAX(J83-I84*(1+K_OpebRate),0))</f>
        <v/>
      </c>
      <c r="K86" s="22">
        <f>MIN(K85,MAX(K83-J84*(1+K_OpebRate),0))</f>
        <v/>
      </c>
      <c r="L86" s="22">
        <f>MIN(L85,MAX(L83-K84*(1+K_OpebRate),0))</f>
        <v/>
      </c>
      <c r="M86" s="22">
        <f>MIN(M85,MAX(M83-L84*(1+K_OpebRate),0))</f>
        <v/>
      </c>
      <c r="N86" s="22">
        <f>MIN(N85,MAX(N83-M84*(1+K_OpebRate),0))</f>
        <v/>
      </c>
      <c r="O86" s="22">
        <f>MIN(O85,MAX(O83-N84*(1+K_OpebRate),0))</f>
        <v/>
      </c>
      <c r="P86" s="22">
        <f>MIN(P85,MAX(P83-O84*(1+K_OpebRate),0))</f>
        <v/>
      </c>
      <c r="Q86" s="22">
        <f>MIN(Q85,MAX(Q83-P84*(1+K_OpebRate),0))</f>
        <v/>
      </c>
    </row>
    <row r="87"/>
    <row r="88">
      <c r="A88" s="2" t="inlineStr">
        <is>
          <t>Fixed values worked out once</t>
        </is>
      </c>
    </row>
    <row r="89">
      <c r="A89" t="inlineStr">
        <is>
          <t>FY2027 enrollment</t>
        </is>
      </c>
      <c r="C89" s="37">
        <f>$D$61</f>
        <v/>
      </c>
    </row>
    <row r="90">
      <c r="A90" t="inlineStr">
        <is>
          <t>FY2027 school staff</t>
        </is>
      </c>
      <c r="C90" s="37">
        <f>K_Staff26+A_FTEchg</f>
        <v/>
      </c>
    </row>
    <row r="91">
      <c r="A91" t="inlineStr">
        <is>
          <t>FY2027 students per staff</t>
        </is>
      </c>
      <c r="C91" s="40">
        <f>Enroll27/Staff27</f>
        <v/>
      </c>
    </row>
    <row r="92">
      <c r="A92" t="inlineStr">
        <is>
          <t>Students per staff a third back to FY2019</t>
        </is>
      </c>
      <c r="C92" s="40">
        <f>Ratio27+(K_Ratio2019-Ratio27)/3</f>
        <v/>
      </c>
    </row>
    <row r="93">
      <c r="A93" t="inlineStr">
        <is>
          <t>FY2027 Town and school staff</t>
        </is>
      </c>
      <c r="C93" s="37">
        <f>K_TownFTE+Staff27</f>
        <v/>
      </c>
    </row>
    <row r="94">
      <c r="A94" t="inlineStr">
        <is>
          <t>Pay growth, FY2025 to FY2027</t>
        </is>
      </c>
      <c r="C94" s="40">
        <f>(1+PayTown)^(2027-2025)</f>
        <v/>
      </c>
    </row>
    <row r="95">
      <c r="A95" t="inlineStr">
        <is>
          <t>Public Safety pay growth, FY2025 to FY2027</t>
        </is>
      </c>
      <c r="C95" s="40">
        <f>(1+PayTown+PSPrem)^(2027-2025)</f>
        <v/>
      </c>
    </row>
    <row r="96">
      <c r="A96" t="inlineStr">
        <is>
          <t>Pension normal cost, FY2030 (FY2031's, one year back)</t>
        </is>
      </c>
      <c r="C96" s="17">
        <f>Data!$H$26/(1+PayTown+K_PenNCPrem)</f>
        <v/>
      </c>
    </row>
    <row r="97">
      <c r="A97" t="inlineStr">
        <is>
          <t>Pension slip: each installment of FY2030's catch-up</t>
        </is>
      </c>
      <c r="C97" s="17">
        <f>IF(PensionSlip&gt;0,(Data!$G$26-PenNC30)/((1-(1+K_PenRate)^(-(PensionSlip+1)))/(1-1/(1+K_PenRate))),0)</f>
        <v/>
      </c>
    </row>
  </sheetData>
  <mergeCells count="1">
    <mergeCell ref="A2:Q2"/>
  </mergeCells>
  <conditionalFormatting sqref="D29:Q29">
    <cfRule type="cellIs" priority="1" operator="lessThan" dxfId="0">
      <formula>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0" customWidth="1" min="1" max="1"/>
    <col width="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Revenue build: property tax and new growth</t>
        </is>
      </c>
    </row>
    <row r="2" ht="48" customHeight="1">
      <c r="A2" s="4" t="inlineStr">
        <is>
          <t>How the levy grows: last year's levy limit plus 2.5%, plus new growth, plus any override. New growth comes in five kinds, each a share of last year's levy limit, set on Assumptions and moved by the New growth setting. For FY2026 to FY2031 the forecast starts from the Town's own plan and adds the difference its new growth makes over the Town's flat $2.5M; from FY2032 it carries the levy forward itself. Debt exclusions are shown but set aside on the Forecast sheet.</t>
        </is>
      </c>
    </row>
    <row r="4">
      <c r="C4" s="28" t="n">
        <v>2026</v>
      </c>
      <c r="D4" s="28" t="n">
        <v>2027</v>
      </c>
      <c r="E4" s="28" t="n">
        <v>2028</v>
      </c>
      <c r="F4" s="28" t="n">
        <v>2029</v>
      </c>
      <c r="G4" s="28" t="n">
        <v>2030</v>
      </c>
      <c r="H4" s="28" t="n">
        <v>2031</v>
      </c>
      <c r="I4" s="28" t="n">
        <v>2032</v>
      </c>
      <c r="J4" s="28" t="n">
        <v>2033</v>
      </c>
      <c r="K4" s="28" t="n">
        <v>2034</v>
      </c>
      <c r="L4" s="28" t="n">
        <v>2035</v>
      </c>
      <c r="M4" s="28" t="n">
        <v>2036</v>
      </c>
      <c r="N4" s="28" t="n">
        <v>2037</v>
      </c>
      <c r="O4" s="28" t="n">
        <v>2038</v>
      </c>
      <c r="P4" s="28" t="n">
        <v>2039</v>
      </c>
      <c r="Q4" s="28" t="n">
        <v>2040</v>
      </c>
    </row>
    <row r="5"/>
    <row r="6">
      <c r="A6" s="2" t="inlineStr">
        <is>
          <t>New growth rates, share of last year's levy limit</t>
        </is>
      </c>
      <c r="C6" s="27" t="inlineStr">
        <is>
          <t>This run</t>
        </is>
      </c>
      <c r="D6" s="27" t="inlineStr">
        <is>
          <t>Recent trend</t>
        </is>
      </c>
    </row>
    <row r="7">
      <c r="A7" t="inlineStr">
        <is>
          <t>New homes</t>
        </is>
      </c>
      <c r="C7" s="41">
        <f>(IF(OR(GrowthStep&lt;=0,MixCode="mix"),K_ResNewPct*GrowthRate/K_TrendRate,K_ResNewPct+(GrowthRate-K_TrendRate)*IF(MixCode="housing",1,IF(MixCode="even",0.5,0))))*HomesShare</f>
        <v/>
      </c>
      <c r="D7" s="42">
        <f>K_ResNewPct</f>
        <v/>
      </c>
    </row>
    <row r="8">
      <c r="A8" t="inlineStr">
        <is>
          <t>Home renovation</t>
        </is>
      </c>
      <c r="C8" s="41">
        <f>IF(OR(GrowthStep&lt;=0,MixCode="mix"),K_ResRenoPct*GrowthRate/K_TrendRate,K_ResRenoPct)</f>
        <v/>
      </c>
      <c r="D8" s="42">
        <f>K_ResRenoPct</f>
        <v/>
      </c>
    </row>
    <row r="9">
      <c r="A9" t="inlineStr">
        <is>
          <t>New commercial space</t>
        </is>
      </c>
      <c r="C9" s="41">
        <f>IF(OR(GrowthStep&lt;=0,MixCode="mix"),K_ComNewPct*GrowthRate/K_TrendRate,K_ComNewPct+(GrowthRate-K_TrendRate)*IF(MixCode="commercial",1,IF(MixCode="even",0.5,0)))</f>
        <v/>
      </c>
      <c r="D9" s="42">
        <f>K_ComNewPct</f>
        <v/>
      </c>
    </row>
    <row r="10">
      <c r="A10" t="inlineStr">
        <is>
          <t>Commercial renovation</t>
        </is>
      </c>
      <c r="C10" s="41">
        <f>IF(OR(GrowthStep&lt;=0,MixCode="mix"),K_ComRenoPct*GrowthRate/K_TrendRate,K_ComRenoPct)</f>
        <v/>
      </c>
      <c r="D10" s="42">
        <f>K_ComRenoPct</f>
        <v/>
      </c>
    </row>
    <row r="11">
      <c r="A11" t="inlineStr">
        <is>
          <t>Business equipment</t>
        </is>
      </c>
      <c r="C11" s="41">
        <f>IF(OR(GrowthStep&lt;=0,MixCode="mix"),K_PP*GrowthRate/K_TrendRate,K_PP)</f>
        <v/>
      </c>
      <c r="D11" s="42">
        <f>K_PP</f>
        <v/>
      </c>
    </row>
    <row r="12">
      <c r="A12" s="27" t="inlineStr">
        <is>
          <t>All new growth</t>
        </is>
      </c>
      <c r="C12" s="42">
        <f>SUM(C7:C11)</f>
        <v/>
      </c>
      <c r="D12" s="42">
        <f>SUM(D7:D11)</f>
        <v/>
      </c>
    </row>
    <row r="13">
      <c r="A13" s="20" t="inlineStr">
        <is>
          <t>Below the trend every kind is scaled down together. Above it, today's mix scales every kind up; the other mixes add the extra to new homes, new commercial space, or half to each.</t>
        </is>
      </c>
    </row>
    <row r="16">
      <c r="A16" s="2" t="inlineStr">
        <is>
          <t>The levy, FY2026 to FY2031: the Town's plan plus the difference</t>
        </is>
      </c>
    </row>
    <row r="17">
      <c r="A17" s="43" t="inlineStr">
        <is>
          <t>Town plan: property tax less debt exclusions, before the May 2026 override</t>
        </is>
      </c>
      <c r="C17" s="17">
        <f>Data!C5-Data!C6</f>
        <v/>
      </c>
      <c r="D17" s="17">
        <f>Data!D5-Data!D6</f>
        <v/>
      </c>
      <c r="E17" s="17">
        <f>Data!E5-Data!E6</f>
        <v/>
      </c>
      <c r="F17" s="17">
        <f>Data!F5-Data!F6</f>
        <v/>
      </c>
      <c r="G17" s="17">
        <f>Data!G5-Data!G6</f>
        <v/>
      </c>
      <c r="H17" s="17">
        <f>Data!H5-Data!H6</f>
        <v/>
      </c>
    </row>
    <row r="18">
      <c r="A18" s="43" t="inlineStr">
        <is>
          <t>May 2026 override, built up (each year's amount, then 2.5% a year)</t>
        </is>
      </c>
      <c r="C18" s="17">
        <f>N(Data!C8)</f>
        <v/>
      </c>
      <c r="D18" s="17">
        <f>C18*(1+K_LevyCap)+N(Data!D8)</f>
        <v/>
      </c>
      <c r="E18" s="17">
        <f>D18*(1+K_LevyCap)+N(Data!E8)</f>
        <v/>
      </c>
      <c r="F18" s="17">
        <f>E18*(1+K_LevyCap)+N(Data!F8)</f>
        <v/>
      </c>
      <c r="G18" s="17">
        <f>F18*(1+K_LevyCap)+N(Data!G8)</f>
        <v/>
      </c>
      <c r="H18" s="17">
        <f>G18*(1+K_LevyCap)+N(Data!H8)</f>
        <v/>
      </c>
    </row>
    <row r="19">
      <c r="A19" s="43" t="inlineStr">
        <is>
          <t>Town plan levy limit with the override</t>
        </is>
      </c>
      <c r="C19" s="17">
        <f>C17+C18</f>
        <v/>
      </c>
      <c r="D19" s="17">
        <f>D17+D18</f>
        <v/>
      </c>
      <c r="E19" s="17">
        <f>E17+E18</f>
        <v/>
      </c>
      <c r="F19" s="17">
        <f>F17+F18</f>
        <v/>
      </c>
      <c r="G19" s="17">
        <f>G17+G18</f>
        <v/>
      </c>
      <c r="H19" s="17">
        <f>H17+H18</f>
        <v/>
      </c>
    </row>
    <row r="21">
      <c r="A21" s="2" t="inlineStr">
        <is>
          <t>New growth this year</t>
        </is>
      </c>
    </row>
    <row r="22">
      <c r="A22" s="43" t="inlineStr">
        <is>
          <t>Last year's levy limit (this forecast's: the Town plan's plus the difference, through FY2031)</t>
        </is>
      </c>
      <c r="C22" s="17">
        <f>Levy2025</f>
        <v/>
      </c>
      <c r="D22" s="17">
        <f>C36</f>
        <v/>
      </c>
      <c r="E22" s="17">
        <f>D36</f>
        <v/>
      </c>
      <c r="F22" s="17">
        <f>E36</f>
        <v/>
      </c>
      <c r="G22" s="17">
        <f>F36</f>
        <v/>
      </c>
      <c r="H22" s="17">
        <f>G36</f>
        <v/>
      </c>
      <c r="I22" s="17">
        <f>H36</f>
        <v/>
      </c>
      <c r="J22" s="17">
        <f>I36</f>
        <v/>
      </c>
      <c r="K22" s="17">
        <f>J36</f>
        <v/>
      </c>
      <c r="L22" s="17">
        <f>K36</f>
        <v/>
      </c>
      <c r="M22" s="17">
        <f>L36</f>
        <v/>
      </c>
      <c r="N22" s="17">
        <f>M36</f>
        <v/>
      </c>
      <c r="O22" s="17">
        <f>N36</f>
        <v/>
      </c>
      <c r="P22" s="17">
        <f>O36</f>
        <v/>
      </c>
      <c r="Q22" s="17">
        <f>P36</f>
        <v/>
      </c>
    </row>
    <row r="23">
      <c r="A23" s="43" t="inlineStr">
        <is>
          <t>Scale to the Town's budgeted new growth (FY2027 only)</t>
        </is>
      </c>
      <c r="C23" s="44">
        <f>1</f>
        <v/>
      </c>
      <c r="D23" s="44">
        <f>K_TownNG/((Rate_ResNew+Rate_ResReno+Rate_ComNew+Rate_ComReno+Rate_PP)*D22)</f>
        <v/>
      </c>
      <c r="E23" s="44">
        <f>1</f>
        <v/>
      </c>
      <c r="F23" s="44">
        <f>1</f>
        <v/>
      </c>
      <c r="G23" s="44">
        <f>1</f>
        <v/>
      </c>
      <c r="H23" s="44">
        <f>1</f>
        <v/>
      </c>
      <c r="I23" s="44">
        <f>1</f>
        <v/>
      </c>
      <c r="J23" s="44">
        <f>1</f>
        <v/>
      </c>
      <c r="K23" s="44">
        <f>1</f>
        <v/>
      </c>
      <c r="L23" s="44">
        <f>1</f>
        <v/>
      </c>
      <c r="M23" s="44">
        <f>1</f>
        <v/>
      </c>
      <c r="N23" s="44">
        <f>1</f>
        <v/>
      </c>
      <c r="O23" s="44">
        <f>1</f>
        <v/>
      </c>
      <c r="P23" s="44">
        <f>1</f>
        <v/>
      </c>
      <c r="Q23" s="44">
        <f>1</f>
        <v/>
      </c>
    </row>
    <row r="24">
      <c r="A24" s="43" t="inlineStr">
        <is>
          <t>New homes</t>
        </is>
      </c>
      <c r="C24" s="17">
        <f>Rate_ResNew*C22*C23</f>
        <v/>
      </c>
      <c r="D24" s="17">
        <f>Rate_ResNew*D22*D23</f>
        <v/>
      </c>
      <c r="E24" s="17">
        <f>Rate_ResNew*E22*E23</f>
        <v/>
      </c>
      <c r="F24" s="17">
        <f>Rate_ResNew*F22*F23</f>
        <v/>
      </c>
      <c r="G24" s="17">
        <f>Rate_ResNew*G22*G23</f>
        <v/>
      </c>
      <c r="H24" s="17">
        <f>Rate_ResNew*H22*H23</f>
        <v/>
      </c>
      <c r="I24" s="17">
        <f>Rate_ResNew*I22*I23</f>
        <v/>
      </c>
      <c r="J24" s="17">
        <f>Rate_ResNew*J22*J23</f>
        <v/>
      </c>
      <c r="K24" s="17">
        <f>Rate_ResNew*K22*K23</f>
        <v/>
      </c>
      <c r="L24" s="17">
        <f>Rate_ResNew*L22*L23</f>
        <v/>
      </c>
      <c r="M24" s="17">
        <f>Rate_ResNew*M22*M23</f>
        <v/>
      </c>
      <c r="N24" s="17">
        <f>Rate_ResNew*N22*N23</f>
        <v/>
      </c>
      <c r="O24" s="17">
        <f>Rate_ResNew*O22*O23</f>
        <v/>
      </c>
      <c r="P24" s="17">
        <f>Rate_ResNew*P22*P23</f>
        <v/>
      </c>
      <c r="Q24" s="17">
        <f>Rate_ResNew*Q22*Q23</f>
        <v/>
      </c>
    </row>
    <row r="25">
      <c r="A25" s="43" t="inlineStr">
        <is>
          <t>Home renovation</t>
        </is>
      </c>
      <c r="C25" s="17">
        <f>Rate_ResReno*C22*C23</f>
        <v/>
      </c>
      <c r="D25" s="17">
        <f>Rate_ResReno*D22*D23</f>
        <v/>
      </c>
      <c r="E25" s="17">
        <f>Rate_ResReno*E22*E23</f>
        <v/>
      </c>
      <c r="F25" s="17">
        <f>Rate_ResReno*F22*F23</f>
        <v/>
      </c>
      <c r="G25" s="17">
        <f>Rate_ResReno*G22*G23</f>
        <v/>
      </c>
      <c r="H25" s="17">
        <f>Rate_ResReno*H22*H23</f>
        <v/>
      </c>
      <c r="I25" s="17">
        <f>Rate_ResReno*I22*I23</f>
        <v/>
      </c>
      <c r="J25" s="17">
        <f>Rate_ResReno*J22*J23</f>
        <v/>
      </c>
      <c r="K25" s="17">
        <f>Rate_ResReno*K22*K23</f>
        <v/>
      </c>
      <c r="L25" s="17">
        <f>Rate_ResReno*L22*L23</f>
        <v/>
      </c>
      <c r="M25" s="17">
        <f>Rate_ResReno*M22*M23</f>
        <v/>
      </c>
      <c r="N25" s="17">
        <f>Rate_ResReno*N22*N23</f>
        <v/>
      </c>
      <c r="O25" s="17">
        <f>Rate_ResReno*O22*O23</f>
        <v/>
      </c>
      <c r="P25" s="17">
        <f>Rate_ResReno*P22*P23</f>
        <v/>
      </c>
      <c r="Q25" s="17">
        <f>Rate_ResReno*Q22*Q23</f>
        <v/>
      </c>
    </row>
    <row r="26">
      <c r="A26" s="43" t="inlineStr">
        <is>
          <t>New commercial space</t>
        </is>
      </c>
      <c r="C26" s="17">
        <f>Rate_ComNew*C22*C23</f>
        <v/>
      </c>
      <c r="D26" s="17">
        <f>Rate_ComNew*D22*D23</f>
        <v/>
      </c>
      <c r="E26" s="17">
        <f>Rate_ComNew*E22*E23</f>
        <v/>
      </c>
      <c r="F26" s="17">
        <f>Rate_ComNew*F22*F23</f>
        <v/>
      </c>
      <c r="G26" s="17">
        <f>Rate_ComNew*G22*G23</f>
        <v/>
      </c>
      <c r="H26" s="17">
        <f>Rate_ComNew*H22*H23</f>
        <v/>
      </c>
      <c r="I26" s="17">
        <f>Rate_ComNew*I22*I23</f>
        <v/>
      </c>
      <c r="J26" s="17">
        <f>Rate_ComNew*J22*J23</f>
        <v/>
      </c>
      <c r="K26" s="17">
        <f>Rate_ComNew*K22*K23</f>
        <v/>
      </c>
      <c r="L26" s="17">
        <f>Rate_ComNew*L22*L23</f>
        <v/>
      </c>
      <c r="M26" s="17">
        <f>Rate_ComNew*M22*M23</f>
        <v/>
      </c>
      <c r="N26" s="17">
        <f>Rate_ComNew*N22*N23</f>
        <v/>
      </c>
      <c r="O26" s="17">
        <f>Rate_ComNew*O22*O23</f>
        <v/>
      </c>
      <c r="P26" s="17">
        <f>Rate_ComNew*P22*P23</f>
        <v/>
      </c>
      <c r="Q26" s="17">
        <f>Rate_ComNew*Q22*Q23</f>
        <v/>
      </c>
    </row>
    <row r="27">
      <c r="A27" s="43" t="inlineStr">
        <is>
          <t>Commercial renovation</t>
        </is>
      </c>
      <c r="C27" s="17">
        <f>Rate_ComReno*C22*C23</f>
        <v/>
      </c>
      <c r="D27" s="17">
        <f>Rate_ComReno*D22*D23</f>
        <v/>
      </c>
      <c r="E27" s="17">
        <f>Rate_ComReno*E22*E23</f>
        <v/>
      </c>
      <c r="F27" s="17">
        <f>Rate_ComReno*F22*F23</f>
        <v/>
      </c>
      <c r="G27" s="17">
        <f>Rate_ComReno*G22*G23</f>
        <v/>
      </c>
      <c r="H27" s="17">
        <f>Rate_ComReno*H22*H23</f>
        <v/>
      </c>
      <c r="I27" s="17">
        <f>Rate_ComReno*I22*I23</f>
        <v/>
      </c>
      <c r="J27" s="17">
        <f>Rate_ComReno*J22*J23</f>
        <v/>
      </c>
      <c r="K27" s="17">
        <f>Rate_ComReno*K22*K23</f>
        <v/>
      </c>
      <c r="L27" s="17">
        <f>Rate_ComReno*L22*L23</f>
        <v/>
      </c>
      <c r="M27" s="17">
        <f>Rate_ComReno*M22*M23</f>
        <v/>
      </c>
      <c r="N27" s="17">
        <f>Rate_ComReno*N22*N23</f>
        <v/>
      </c>
      <c r="O27" s="17">
        <f>Rate_ComReno*O22*O23</f>
        <v/>
      </c>
      <c r="P27" s="17">
        <f>Rate_ComReno*P22*P23</f>
        <v/>
      </c>
      <c r="Q27" s="17">
        <f>Rate_ComReno*Q22*Q23</f>
        <v/>
      </c>
    </row>
    <row r="28">
      <c r="A28" s="43" t="inlineStr">
        <is>
          <t>Business equipment</t>
        </is>
      </c>
      <c r="C28" s="17">
        <f>Rate_PP*C22*C23</f>
        <v/>
      </c>
      <c r="D28" s="17">
        <f>Rate_PP*D22*D23</f>
        <v/>
      </c>
      <c r="E28" s="17">
        <f>Rate_PP*E22*E23</f>
        <v/>
      </c>
      <c r="F28" s="17">
        <f>Rate_PP*F22*F23</f>
        <v/>
      </c>
      <c r="G28" s="17">
        <f>Rate_PP*G22*G23</f>
        <v/>
      </c>
      <c r="H28" s="17">
        <f>Rate_PP*H22*H23</f>
        <v/>
      </c>
      <c r="I28" s="17">
        <f>Rate_PP*I22*I23</f>
        <v/>
      </c>
      <c r="J28" s="17">
        <f>Rate_PP*J22*J23</f>
        <v/>
      </c>
      <c r="K28" s="17">
        <f>Rate_PP*K22*K23</f>
        <v/>
      </c>
      <c r="L28" s="17">
        <f>Rate_PP*L22*L23</f>
        <v/>
      </c>
      <c r="M28" s="17">
        <f>Rate_PP*M22*M23</f>
        <v/>
      </c>
      <c r="N28" s="17">
        <f>Rate_PP*N22*N23</f>
        <v/>
      </c>
      <c r="O28" s="17">
        <f>Rate_PP*O22*O23</f>
        <v/>
      </c>
      <c r="P28" s="17">
        <f>Rate_PP*P22*P23</f>
        <v/>
      </c>
      <c r="Q28" s="17">
        <f>Rate_PP*Q22*Q23</f>
        <v/>
      </c>
    </row>
    <row r="29">
      <c r="A29" s="43" t="inlineStr">
        <is>
          <t>Chestnut Hill: share built and on the roll</t>
        </is>
      </c>
      <c r="C29" s="44">
        <f>IF(C$4&lt;K_ChcaStart,0,MIN((C$4-K_ChcaStart+1)/K_ChcaSpan,1))</f>
        <v/>
      </c>
      <c r="D29" s="44">
        <f>IF(D$4&lt;K_ChcaStart,0,MIN((D$4-K_ChcaStart+1)/K_ChcaSpan,1))</f>
        <v/>
      </c>
      <c r="E29" s="44">
        <f>IF(E$4&lt;K_ChcaStart,0,MIN((E$4-K_ChcaStart+1)/K_ChcaSpan,1))</f>
        <v/>
      </c>
      <c r="F29" s="44">
        <f>IF(F$4&lt;K_ChcaStart,0,MIN((F$4-K_ChcaStart+1)/K_ChcaSpan,1))</f>
        <v/>
      </c>
      <c r="G29" s="44">
        <f>IF(G$4&lt;K_ChcaStart,0,MIN((G$4-K_ChcaStart+1)/K_ChcaSpan,1))</f>
        <v/>
      </c>
      <c r="H29" s="44">
        <f>IF(H$4&lt;K_ChcaStart,0,MIN((H$4-K_ChcaStart+1)/K_ChcaSpan,1))</f>
        <v/>
      </c>
      <c r="I29" s="44">
        <f>IF(I$4&lt;K_ChcaStart,0,MIN((I$4-K_ChcaStart+1)/K_ChcaSpan,1))</f>
        <v/>
      </c>
      <c r="J29" s="44">
        <f>IF(J$4&lt;K_ChcaStart,0,MIN((J$4-K_ChcaStart+1)/K_ChcaSpan,1))</f>
        <v/>
      </c>
      <c r="K29" s="44">
        <f>IF(K$4&lt;K_ChcaStart,0,MIN((K$4-K_ChcaStart+1)/K_ChcaSpan,1))</f>
        <v/>
      </c>
      <c r="L29" s="44">
        <f>IF(L$4&lt;K_ChcaStart,0,MIN((L$4-K_ChcaStart+1)/K_ChcaSpan,1))</f>
        <v/>
      </c>
      <c r="M29" s="44">
        <f>IF(M$4&lt;K_ChcaStart,0,MIN((M$4-K_ChcaStart+1)/K_ChcaSpan,1))</f>
        <v/>
      </c>
      <c r="N29" s="44">
        <f>IF(N$4&lt;K_ChcaStart,0,MIN((N$4-K_ChcaStart+1)/K_ChcaSpan,1))</f>
        <v/>
      </c>
      <c r="O29" s="44">
        <f>IF(O$4&lt;K_ChcaStart,0,MIN((O$4-K_ChcaStart+1)/K_ChcaSpan,1))</f>
        <v/>
      </c>
      <c r="P29" s="44">
        <f>IF(P$4&lt;K_ChcaStart,0,MIN((P$4-K_ChcaStart+1)/K_ChcaSpan,1))</f>
        <v/>
      </c>
      <c r="Q29" s="44">
        <f>IF(Q$4&lt;K_ChcaStart,0,MIN((Q$4-K_ChcaStart+1)/K_ChcaSpan,1))</f>
        <v/>
      </c>
    </row>
    <row r="30">
      <c r="A30" s="43" t="inlineStr">
        <is>
          <t>Chestnut Hill: property tax once on the roll</t>
        </is>
      </c>
      <c r="C30" s="17">
        <f>C31</f>
        <v/>
      </c>
      <c r="D30" s="17">
        <f>C30*(1+K_LevyCap)+D31</f>
        <v/>
      </c>
      <c r="E30" s="17">
        <f>D30*(1+K_LevyCap)+E31</f>
        <v/>
      </c>
      <c r="F30" s="17">
        <f>E30*(1+K_LevyCap)+F31</f>
        <v/>
      </c>
      <c r="G30" s="17">
        <f>F30*(1+K_LevyCap)+G31</f>
        <v/>
      </c>
      <c r="H30" s="17">
        <f>G30*(1+K_LevyCap)+H31</f>
        <v/>
      </c>
      <c r="I30" s="17">
        <f>H30*(1+K_LevyCap)+I31</f>
        <v/>
      </c>
      <c r="J30" s="17">
        <f>I30*(1+K_LevyCap)+J31</f>
        <v/>
      </c>
      <c r="K30" s="17">
        <f>J30*(1+K_LevyCap)+K31</f>
        <v/>
      </c>
      <c r="L30" s="17">
        <f>K30*(1+K_LevyCap)+L31</f>
        <v/>
      </c>
      <c r="M30" s="17">
        <f>L30*(1+K_LevyCap)+M31</f>
        <v/>
      </c>
      <c r="N30" s="17">
        <f>M30*(1+K_LevyCap)+N31</f>
        <v/>
      </c>
      <c r="O30" s="17">
        <f>N30*(1+K_LevyCap)+O31</f>
        <v/>
      </c>
      <c r="P30" s="17">
        <f>O30*(1+K_LevyCap)+P31</f>
        <v/>
      </c>
      <c r="Q30" s="17">
        <f>P30*(1+K_LevyCap)+Q31</f>
        <v/>
      </c>
    </row>
    <row r="31">
      <c r="A31" s="43" t="inlineStr">
        <is>
          <t>Chestnut Hill: added this year, at its entry year's value</t>
        </is>
      </c>
      <c r="C31" s="17">
        <f>C29*ChcaProp*(ChcaResShare*((1+K_ResApp)*(1+K_LevyGrowth)/(1+K_BlendApp))^(C$4-K_ChcaDollarYr)+(1-ChcaResShare)*((1+K_ComApp)*(1+K_LevyGrowth)/(1+K_BlendApp))^(C$4-K_ChcaDollarYr))</f>
        <v/>
      </c>
      <c r="D31" s="17">
        <f>(D29-C29)*ChcaProp*(ChcaResShare*((1+K_ResApp)*(1+K_LevyGrowth)/(1+K_BlendApp))^(D$4-K_ChcaDollarYr)+(1-ChcaResShare)*((1+K_ComApp)*(1+K_LevyGrowth)/(1+K_BlendApp))^(D$4-K_ChcaDollarYr))</f>
        <v/>
      </c>
      <c r="E31" s="17">
        <f>(E29-D29)*ChcaProp*(ChcaResShare*((1+K_ResApp)*(1+K_LevyGrowth)/(1+K_BlendApp))^(E$4-K_ChcaDollarYr)+(1-ChcaResShare)*((1+K_ComApp)*(1+K_LevyGrowth)/(1+K_BlendApp))^(E$4-K_ChcaDollarYr))</f>
        <v/>
      </c>
      <c r="F31" s="17">
        <f>(F29-E29)*ChcaProp*(ChcaResShare*((1+K_ResApp)*(1+K_LevyGrowth)/(1+K_BlendApp))^(F$4-K_ChcaDollarYr)+(1-ChcaResShare)*((1+K_ComApp)*(1+K_LevyGrowth)/(1+K_BlendApp))^(F$4-K_ChcaDollarYr))</f>
        <v/>
      </c>
      <c r="G31" s="17">
        <f>(G29-F29)*ChcaProp*(ChcaResShare*((1+K_ResApp)*(1+K_LevyGrowth)/(1+K_BlendApp))^(G$4-K_ChcaDollarYr)+(1-ChcaResShare)*((1+K_ComApp)*(1+K_LevyGrowth)/(1+K_BlendApp))^(G$4-K_ChcaDollarYr))</f>
        <v/>
      </c>
      <c r="H31" s="17">
        <f>(H29-G29)*ChcaProp*(ChcaResShare*((1+K_ResApp)*(1+K_LevyGrowth)/(1+K_BlendApp))^(H$4-K_ChcaDollarYr)+(1-ChcaResShare)*((1+K_ComApp)*(1+K_LevyGrowth)/(1+K_BlendApp))^(H$4-K_ChcaDollarYr))</f>
        <v/>
      </c>
      <c r="I31" s="17">
        <f>(I29-H29)*ChcaProp*(ChcaResShare*((1+K_ResApp)*(1+K_LevyGrowth)/(1+K_BlendApp))^(I$4-K_ChcaDollarYr)+(1-ChcaResShare)*((1+K_ComApp)*(1+K_LevyGrowth)/(1+K_BlendApp))^(I$4-K_ChcaDollarYr))</f>
        <v/>
      </c>
      <c r="J31" s="17">
        <f>(J29-I29)*ChcaProp*(ChcaResShare*((1+K_ResApp)*(1+K_LevyGrowth)/(1+K_BlendApp))^(J$4-K_ChcaDollarYr)+(1-ChcaResShare)*((1+K_ComApp)*(1+K_LevyGrowth)/(1+K_BlendApp))^(J$4-K_ChcaDollarYr))</f>
        <v/>
      </c>
      <c r="K31" s="17">
        <f>(K29-J29)*ChcaProp*(ChcaResShare*((1+K_ResApp)*(1+K_LevyGrowth)/(1+K_BlendApp))^(K$4-K_ChcaDollarYr)+(1-ChcaResShare)*((1+K_ComApp)*(1+K_LevyGrowth)/(1+K_BlendApp))^(K$4-K_ChcaDollarYr))</f>
        <v/>
      </c>
      <c r="L31" s="17">
        <f>(L29-K29)*ChcaProp*(ChcaResShare*((1+K_ResApp)*(1+K_LevyGrowth)/(1+K_BlendApp))^(L$4-K_ChcaDollarYr)+(1-ChcaResShare)*((1+K_ComApp)*(1+K_LevyGrowth)/(1+K_BlendApp))^(L$4-K_ChcaDollarYr))</f>
        <v/>
      </c>
      <c r="M31" s="17">
        <f>(M29-L29)*ChcaProp*(ChcaResShare*((1+K_ResApp)*(1+K_LevyGrowth)/(1+K_BlendApp))^(M$4-K_ChcaDollarYr)+(1-ChcaResShare)*((1+K_ComApp)*(1+K_LevyGrowth)/(1+K_BlendApp))^(M$4-K_ChcaDollarYr))</f>
        <v/>
      </c>
      <c r="N31" s="17">
        <f>(N29-M29)*ChcaProp*(ChcaResShare*((1+K_ResApp)*(1+K_LevyGrowth)/(1+K_BlendApp))^(N$4-K_ChcaDollarYr)+(1-ChcaResShare)*((1+K_ComApp)*(1+K_LevyGrowth)/(1+K_BlendApp))^(N$4-K_ChcaDollarYr))</f>
        <v/>
      </c>
      <c r="O31" s="17">
        <f>(O29-N29)*ChcaProp*(ChcaResShare*((1+K_ResApp)*(1+K_LevyGrowth)/(1+K_BlendApp))^(O$4-K_ChcaDollarYr)+(1-ChcaResShare)*((1+K_ComApp)*(1+K_LevyGrowth)/(1+K_BlendApp))^(O$4-K_ChcaDollarYr))</f>
        <v/>
      </c>
      <c r="P31" s="17">
        <f>(P29-O29)*ChcaProp*(ChcaResShare*((1+K_ResApp)*(1+K_LevyGrowth)/(1+K_BlendApp))^(P$4-K_ChcaDollarYr)+(1-ChcaResShare)*((1+K_ComApp)*(1+K_LevyGrowth)/(1+K_BlendApp))^(P$4-K_ChcaDollarYr))</f>
        <v/>
      </c>
      <c r="Q31" s="17">
        <f>(Q29-P29)*ChcaProp*(ChcaResShare*((1+K_ResApp)*(1+K_LevyGrowth)/(1+K_BlendApp))^(Q$4-K_ChcaDollarYr)+(1-ChcaResShare)*((1+K_ComApp)*(1+K_LevyGrowth)/(1+K_BlendApp))^(Q$4-K_ChcaDollarYr))</f>
        <v/>
      </c>
    </row>
    <row r="32">
      <c r="A32" s="45" t="inlineStr">
        <is>
          <t>New growth, all</t>
        </is>
      </c>
      <c r="B32" s="27" t="n"/>
      <c r="C32" s="29">
        <f>SUM(C24:C28)+C31</f>
        <v/>
      </c>
      <c r="D32" s="29">
        <f>IF(NgEarlyYears="trend",SUM(D24:D28)+D31,IF(NgEarlyYears="permits",K_Perm27,IF(NgEarlyYears="permits_low",K_Perm27Lo,K_Perm27Hi))+D28+D31)</f>
        <v/>
      </c>
      <c r="E32" s="29">
        <f>IF(NgEarlyYears="trend",SUM(E24:E28)+E31,IF(NgEarlyYears="permits",K_Perm28,IF(NgEarlyYears="permits_low",K_Perm28Lo,K_Perm28Hi))+E28+E31)</f>
        <v/>
      </c>
      <c r="F32" s="29">
        <f>SUM(F24:F28)+F31</f>
        <v/>
      </c>
      <c r="G32" s="29">
        <f>SUM(G24:G28)+G31</f>
        <v/>
      </c>
      <c r="H32" s="29">
        <f>SUM(H24:H28)+H31</f>
        <v/>
      </c>
      <c r="I32" s="29">
        <f>SUM(I24:I28)+I31</f>
        <v/>
      </c>
      <c r="J32" s="29">
        <f>SUM(J24:J28)+J31</f>
        <v/>
      </c>
      <c r="K32" s="29">
        <f>SUM(K24:K28)+K31</f>
        <v/>
      </c>
      <c r="L32" s="29">
        <f>SUM(L24:L28)+L31</f>
        <v/>
      </c>
      <c r="M32" s="29">
        <f>SUM(M24:M28)+M31</f>
        <v/>
      </c>
      <c r="N32" s="29">
        <f>SUM(N24:N28)+N31</f>
        <v/>
      </c>
      <c r="O32" s="29">
        <f>SUM(O24:O28)+O31</f>
        <v/>
      </c>
      <c r="P32" s="29">
        <f>SUM(P24:P28)+P31</f>
        <v/>
      </c>
      <c r="Q32" s="29">
        <f>SUM(Q24:Q28)+Q31</f>
        <v/>
      </c>
    </row>
    <row r="34">
      <c r="A34" s="2" t="inlineStr">
        <is>
          <t>Property tax</t>
        </is>
      </c>
    </row>
    <row r="35">
      <c r="A35" s="43" t="inlineStr">
        <is>
          <t>Difference from the Town plan's $2.5M a year, carried at 2.5% (FY2027 to FY2031; FY2026 is certified in both)</t>
        </is>
      </c>
      <c r="C35" s="17">
        <f>0</f>
        <v/>
      </c>
      <c r="D35" s="17">
        <f>C35*(1+K_LevyCap)+(D32-K_TownNG)</f>
        <v/>
      </c>
      <c r="E35" s="17">
        <f>D35*(1+K_LevyCap)+(E32-K_TownNG)</f>
        <v/>
      </c>
      <c r="F35" s="17">
        <f>E35*(1+K_LevyCap)+(F32-K_TownNG)</f>
        <v/>
      </c>
      <c r="G35" s="17">
        <f>F35*(1+K_LevyCap)+(G32-K_TownNG)</f>
        <v/>
      </c>
      <c r="H35" s="17">
        <f>G35*(1+K_LevyCap)+(H32-K_TownNG)</f>
        <v/>
      </c>
    </row>
    <row r="36">
      <c r="A36" s="45" t="inlineStr">
        <is>
          <t>Levy limit: Town plan plus the difference to FY2031, then last year plus 2.5% plus new growth</t>
        </is>
      </c>
      <c r="B36" s="27" t="n"/>
      <c r="C36" s="29">
        <f>C19+C35</f>
        <v/>
      </c>
      <c r="D36" s="29">
        <f>D19+D35</f>
        <v/>
      </c>
      <c r="E36" s="29">
        <f>E19+E35</f>
        <v/>
      </c>
      <c r="F36" s="29">
        <f>F19+F35</f>
        <v/>
      </c>
      <c r="G36" s="29">
        <f>G19+G35</f>
        <v/>
      </c>
      <c r="H36" s="29">
        <f>H19+H35</f>
        <v/>
      </c>
      <c r="I36" s="29">
        <f>H36*(1+K_LevyCap)+I32</f>
        <v/>
      </c>
      <c r="J36" s="29">
        <f>I36*(1+K_LevyCap)+J32</f>
        <v/>
      </c>
      <c r="K36" s="29">
        <f>J36*(1+K_LevyCap)+K32</f>
        <v/>
      </c>
      <c r="L36" s="29">
        <f>K36*(1+K_LevyCap)+L32</f>
        <v/>
      </c>
      <c r="M36" s="29">
        <f>L36*(1+K_LevyCap)+M32</f>
        <v/>
      </c>
      <c r="N36" s="29">
        <f>M36*(1+K_LevyCap)+N32</f>
        <v/>
      </c>
      <c r="O36" s="29">
        <f>N36*(1+K_LevyCap)+O32</f>
        <v/>
      </c>
      <c r="P36" s="29">
        <f>O36*(1+K_LevyCap)+P32</f>
        <v/>
      </c>
      <c r="Q36" s="29">
        <f>P36*(1+K_LevyCap)+Q32</f>
        <v/>
      </c>
    </row>
    <row r="37">
      <c r="A37" s="43" t="inlineStr">
        <is>
          <t>Debt exclusion tax (Town plan, then held at FY2031)</t>
        </is>
      </c>
      <c r="C37" s="17">
        <f>Data!C6</f>
        <v/>
      </c>
      <c r="D37" s="17">
        <f>Data!D6</f>
        <v/>
      </c>
      <c r="E37" s="17">
        <f>Data!E6</f>
        <v/>
      </c>
      <c r="F37" s="17">
        <f>Data!F6</f>
        <v/>
      </c>
      <c r="G37" s="17">
        <f>Data!G6</f>
        <v/>
      </c>
      <c r="H37" s="17">
        <f>Data!H6</f>
        <v/>
      </c>
      <c r="I37" s="17">
        <f>Data!$H$6</f>
        <v/>
      </c>
      <c r="J37" s="17">
        <f>Data!$H$6</f>
        <v/>
      </c>
      <c r="K37" s="17">
        <f>Data!$H$6</f>
        <v/>
      </c>
      <c r="L37" s="17">
        <f>Data!$H$6</f>
        <v/>
      </c>
      <c r="M37" s="17">
        <f>Data!$H$6</f>
        <v/>
      </c>
      <c r="N37" s="17">
        <f>Data!$H$6</f>
        <v/>
      </c>
      <c r="O37" s="17">
        <f>Data!$H$6</f>
        <v/>
      </c>
      <c r="P37" s="17">
        <f>Data!$H$6</f>
        <v/>
      </c>
      <c r="Q37" s="17">
        <f>Data!$H$6</f>
        <v/>
      </c>
    </row>
    <row r="38">
      <c r="A38" s="45" t="inlineStr">
        <is>
          <t>Property tax, all</t>
        </is>
      </c>
      <c r="B38" s="27" t="n"/>
      <c r="C38" s="29">
        <f>C36+C37</f>
        <v/>
      </c>
      <c r="D38" s="29">
        <f>D36+D37</f>
        <v/>
      </c>
      <c r="E38" s="29">
        <f>E36+E37</f>
        <v/>
      </c>
      <c r="F38" s="29">
        <f>F36+F37</f>
        <v/>
      </c>
      <c r="G38" s="29">
        <f>G36+G37</f>
        <v/>
      </c>
      <c r="H38" s="29">
        <f>H36+H37</f>
        <v/>
      </c>
      <c r="I38" s="29">
        <f>I36+I37</f>
        <v/>
      </c>
      <c r="J38" s="29">
        <f>J36+J37</f>
        <v/>
      </c>
      <c r="K38" s="29">
        <f>K36+K37</f>
        <v/>
      </c>
      <c r="L38" s="29">
        <f>L36+L37</f>
        <v/>
      </c>
      <c r="M38" s="29">
        <f>M36+M37</f>
        <v/>
      </c>
      <c r="N38" s="29">
        <f>N36+N37</f>
        <v/>
      </c>
      <c r="O38" s="29">
        <f>O36+O37</f>
        <v/>
      </c>
      <c r="P38" s="29">
        <f>P36+P37</f>
        <v/>
      </c>
      <c r="Q38" s="29">
        <f>Q36+Q37</f>
        <v/>
      </c>
    </row>
    <row r="40">
      <c r="A40" s="2" t="inlineStr">
        <is>
          <t>Homes and commercial space the new growth stands for</t>
        </is>
      </c>
    </row>
    <row r="41">
      <c r="A41" s="43" t="inlineStr">
        <is>
          <t>Assessed value of a new home</t>
        </is>
      </c>
      <c r="C41" s="17">
        <f>K_ResValUnit*(1+K_ResApp)^(C$4-2026)</f>
        <v/>
      </c>
      <c r="D41" s="17">
        <f>K_ResValUnit*(1+K_ResApp)^(D$4-2026)</f>
        <v/>
      </c>
      <c r="E41" s="17">
        <f>K_ResValUnit*(1+K_ResApp)^(E$4-2026)</f>
        <v/>
      </c>
      <c r="F41" s="17">
        <f>K_ResValUnit*(1+K_ResApp)^(F$4-2026)</f>
        <v/>
      </c>
      <c r="G41" s="17">
        <f>K_ResValUnit*(1+K_ResApp)^(G$4-2026)</f>
        <v/>
      </c>
      <c r="H41" s="17">
        <f>K_ResValUnit*(1+K_ResApp)^(H$4-2026)</f>
        <v/>
      </c>
      <c r="I41" s="17">
        <f>K_ResValUnit*(1+K_ResApp)^(I$4-2026)</f>
        <v/>
      </c>
      <c r="J41" s="17">
        <f>K_ResValUnit*(1+K_ResApp)^(J$4-2026)</f>
        <v/>
      </c>
      <c r="K41" s="17">
        <f>K_ResValUnit*(1+K_ResApp)^(K$4-2026)</f>
        <v/>
      </c>
      <c r="L41" s="17">
        <f>K_ResValUnit*(1+K_ResApp)^(L$4-2026)</f>
        <v/>
      </c>
      <c r="M41" s="17">
        <f>K_ResValUnit*(1+K_ResApp)^(M$4-2026)</f>
        <v/>
      </c>
      <c r="N41" s="17">
        <f>K_ResValUnit*(1+K_ResApp)^(N$4-2026)</f>
        <v/>
      </c>
      <c r="O41" s="17">
        <f>K_ResValUnit*(1+K_ResApp)^(O$4-2026)</f>
        <v/>
      </c>
      <c r="P41" s="17">
        <f>K_ResValUnit*(1+K_ResApp)^(P$4-2026)</f>
        <v/>
      </c>
      <c r="Q41" s="17">
        <f>K_ResValUnit*(1+K_ResApp)^(Q$4-2026)</f>
        <v/>
      </c>
    </row>
    <row r="42">
      <c r="A42" s="43" t="inlineStr">
        <is>
          <t>Residential tax rate</t>
        </is>
      </c>
      <c r="C42" s="42">
        <f>K_ResTax*((1+K_LevyGrowth)/(1+K_BlendApp))^(C$4-2026)</f>
        <v/>
      </c>
      <c r="D42" s="42">
        <f>K_ResTax*((1+K_LevyGrowth)/(1+K_BlendApp))^(D$4-2026)</f>
        <v/>
      </c>
      <c r="E42" s="42">
        <f>K_ResTax*((1+K_LevyGrowth)/(1+K_BlendApp))^(E$4-2026)</f>
        <v/>
      </c>
      <c r="F42" s="42">
        <f>K_ResTax*((1+K_LevyGrowth)/(1+K_BlendApp))^(F$4-2026)</f>
        <v/>
      </c>
      <c r="G42" s="42">
        <f>K_ResTax*((1+K_LevyGrowth)/(1+K_BlendApp))^(G$4-2026)</f>
        <v/>
      </c>
      <c r="H42" s="42">
        <f>K_ResTax*((1+K_LevyGrowth)/(1+K_BlendApp))^(H$4-2026)</f>
        <v/>
      </c>
      <c r="I42" s="42">
        <f>K_ResTax*((1+K_LevyGrowth)/(1+K_BlendApp))^(I$4-2026)</f>
        <v/>
      </c>
      <c r="J42" s="42">
        <f>K_ResTax*((1+K_LevyGrowth)/(1+K_BlendApp))^(J$4-2026)</f>
        <v/>
      </c>
      <c r="K42" s="42">
        <f>K_ResTax*((1+K_LevyGrowth)/(1+K_BlendApp))^(K$4-2026)</f>
        <v/>
      </c>
      <c r="L42" s="42">
        <f>K_ResTax*((1+K_LevyGrowth)/(1+K_BlendApp))^(L$4-2026)</f>
        <v/>
      </c>
      <c r="M42" s="42">
        <f>K_ResTax*((1+K_LevyGrowth)/(1+K_BlendApp))^(M$4-2026)</f>
        <v/>
      </c>
      <c r="N42" s="42">
        <f>K_ResTax*((1+K_LevyGrowth)/(1+K_BlendApp))^(N$4-2026)</f>
        <v/>
      </c>
      <c r="O42" s="42">
        <f>K_ResTax*((1+K_LevyGrowth)/(1+K_BlendApp))^(O$4-2026)</f>
        <v/>
      </c>
      <c r="P42" s="42">
        <f>K_ResTax*((1+K_LevyGrowth)/(1+K_BlendApp))^(P$4-2026)</f>
        <v/>
      </c>
      <c r="Q42" s="42">
        <f>K_ResTax*((1+K_LevyGrowth)/(1+K_BlendApp))^(Q$4-2026)</f>
        <v/>
      </c>
    </row>
    <row r="43">
      <c r="A43" s="43" t="inlineStr">
        <is>
          <t>Commercial tax rate</t>
        </is>
      </c>
      <c r="C43" s="42">
        <f>K_ComTax*((1+K_LevyGrowth)/(1+K_BlendApp))^(C$4-2026)</f>
        <v/>
      </c>
      <c r="D43" s="42">
        <f>K_ComTax*((1+K_LevyGrowth)/(1+K_BlendApp))^(D$4-2026)</f>
        <v/>
      </c>
      <c r="E43" s="42">
        <f>K_ComTax*((1+K_LevyGrowth)/(1+K_BlendApp))^(E$4-2026)</f>
        <v/>
      </c>
      <c r="F43" s="42">
        <f>K_ComTax*((1+K_LevyGrowth)/(1+K_BlendApp))^(F$4-2026)</f>
        <v/>
      </c>
      <c r="G43" s="42">
        <f>K_ComTax*((1+K_LevyGrowth)/(1+K_BlendApp))^(G$4-2026)</f>
        <v/>
      </c>
      <c r="H43" s="42">
        <f>K_ComTax*((1+K_LevyGrowth)/(1+K_BlendApp))^(H$4-2026)</f>
        <v/>
      </c>
      <c r="I43" s="42">
        <f>K_ComTax*((1+K_LevyGrowth)/(1+K_BlendApp))^(I$4-2026)</f>
        <v/>
      </c>
      <c r="J43" s="42">
        <f>K_ComTax*((1+K_LevyGrowth)/(1+K_BlendApp))^(J$4-2026)</f>
        <v/>
      </c>
      <c r="K43" s="42">
        <f>K_ComTax*((1+K_LevyGrowth)/(1+K_BlendApp))^(K$4-2026)</f>
        <v/>
      </c>
      <c r="L43" s="42">
        <f>K_ComTax*((1+K_LevyGrowth)/(1+K_BlendApp))^(L$4-2026)</f>
        <v/>
      </c>
      <c r="M43" s="42">
        <f>K_ComTax*((1+K_LevyGrowth)/(1+K_BlendApp))^(M$4-2026)</f>
        <v/>
      </c>
      <c r="N43" s="42">
        <f>K_ComTax*((1+K_LevyGrowth)/(1+K_BlendApp))^(N$4-2026)</f>
        <v/>
      </c>
      <c r="O43" s="42">
        <f>K_ComTax*((1+K_LevyGrowth)/(1+K_BlendApp))^(O$4-2026)</f>
        <v/>
      </c>
      <c r="P43" s="42">
        <f>K_ComTax*((1+K_LevyGrowth)/(1+K_BlendApp))^(P$4-2026)</f>
        <v/>
      </c>
      <c r="Q43" s="42">
        <f>K_ComTax*((1+K_LevyGrowth)/(1+K_BlendApp))^(Q$4-2026)</f>
        <v/>
      </c>
    </row>
    <row r="44">
      <c r="A44" s="43" t="inlineStr">
        <is>
          <t>Assessed value per commercial square foot</t>
        </is>
      </c>
      <c r="C44" s="17">
        <f>K_ComValSqft*(1+K_ComApp)^(C$4-2026)</f>
        <v/>
      </c>
      <c r="D44" s="17">
        <f>K_ComValSqft*(1+K_ComApp)^(D$4-2026)</f>
        <v/>
      </c>
      <c r="E44" s="17">
        <f>K_ComValSqft*(1+K_ComApp)^(E$4-2026)</f>
        <v/>
      </c>
      <c r="F44" s="17">
        <f>K_ComValSqft*(1+K_ComApp)^(F$4-2026)</f>
        <v/>
      </c>
      <c r="G44" s="17">
        <f>K_ComValSqft*(1+K_ComApp)^(G$4-2026)</f>
        <v/>
      </c>
      <c r="H44" s="17">
        <f>K_ComValSqft*(1+K_ComApp)^(H$4-2026)</f>
        <v/>
      </c>
      <c r="I44" s="17">
        <f>K_ComValSqft*(1+K_ComApp)^(I$4-2026)</f>
        <v/>
      </c>
      <c r="J44" s="17">
        <f>K_ComValSqft*(1+K_ComApp)^(J$4-2026)</f>
        <v/>
      </c>
      <c r="K44" s="17">
        <f>K_ComValSqft*(1+K_ComApp)^(K$4-2026)</f>
        <v/>
      </c>
      <c r="L44" s="17">
        <f>K_ComValSqft*(1+K_ComApp)^(L$4-2026)</f>
        <v/>
      </c>
      <c r="M44" s="17">
        <f>K_ComValSqft*(1+K_ComApp)^(M$4-2026)</f>
        <v/>
      </c>
      <c r="N44" s="17">
        <f>K_ComValSqft*(1+K_ComApp)^(N$4-2026)</f>
        <v/>
      </c>
      <c r="O44" s="17">
        <f>K_ComValSqft*(1+K_ComApp)^(O$4-2026)</f>
        <v/>
      </c>
      <c r="P44" s="17">
        <f>K_ComValSqft*(1+K_ComApp)^(P$4-2026)</f>
        <v/>
      </c>
      <c r="Q44" s="17">
        <f>K_ComValSqft*(1+K_ComApp)^(Q$4-2026)</f>
        <v/>
      </c>
    </row>
    <row r="45">
      <c r="A45" s="43" t="inlineStr">
        <is>
          <t>Homes added this year</t>
        </is>
      </c>
      <c r="C45" s="33">
        <f>C24/(C41*C42)</f>
        <v/>
      </c>
      <c r="D45" s="33">
        <f>D24/(D41*D42)</f>
        <v/>
      </c>
      <c r="E45" s="33">
        <f>E24/(E41*E42)</f>
        <v/>
      </c>
      <c r="F45" s="33">
        <f>F24/(F41*F42)</f>
        <v/>
      </c>
      <c r="G45" s="33">
        <f>G24/(G41*G42)</f>
        <v/>
      </c>
      <c r="H45" s="33">
        <f>H24/(H41*H42)</f>
        <v/>
      </c>
      <c r="I45" s="33">
        <f>I24/(I41*I42)</f>
        <v/>
      </c>
      <c r="J45" s="33">
        <f>J24/(J41*J42)</f>
        <v/>
      </c>
      <c r="K45" s="33">
        <f>K24/(K41*K42)</f>
        <v/>
      </c>
      <c r="L45" s="33">
        <f>L24/(L41*L42)</f>
        <v/>
      </c>
      <c r="M45" s="33">
        <f>M24/(M41*M42)</f>
        <v/>
      </c>
      <c r="N45" s="33">
        <f>N24/(N41*N42)</f>
        <v/>
      </c>
      <c r="O45" s="33">
        <f>O24/(O41*O42)</f>
        <v/>
      </c>
      <c r="P45" s="33">
        <f>P24/(P41*P42)</f>
        <v/>
      </c>
      <c r="Q45" s="33">
        <f>Q24/(Q41*Q42)</f>
        <v/>
      </c>
    </row>
    <row r="46">
      <c r="A46" s="43" t="inlineStr">
        <is>
          <t>Commercial square feet added this year</t>
        </is>
      </c>
      <c r="C46" s="32">
        <f>C26/(C44*C43)</f>
        <v/>
      </c>
      <c r="D46" s="32">
        <f>D26/(D44*D43)</f>
        <v/>
      </c>
      <c r="E46" s="32">
        <f>E26/(E44*E43)</f>
        <v/>
      </c>
      <c r="F46" s="32">
        <f>F26/(F44*F43)</f>
        <v/>
      </c>
      <c r="G46" s="32">
        <f>G26/(G44*G43)</f>
        <v/>
      </c>
      <c r="H46" s="32">
        <f>H26/(H44*H43)</f>
        <v/>
      </c>
      <c r="I46" s="32">
        <f>I26/(I44*I43)</f>
        <v/>
      </c>
      <c r="J46" s="32">
        <f>J26/(J44*J43)</f>
        <v/>
      </c>
      <c r="K46" s="32">
        <f>K26/(K44*K43)</f>
        <v/>
      </c>
      <c r="L46" s="32">
        <f>L26/(L44*L43)</f>
        <v/>
      </c>
      <c r="M46" s="32">
        <f>M26/(M44*M43)</f>
        <v/>
      </c>
      <c r="N46" s="32">
        <f>N26/(N44*N43)</f>
        <v/>
      </c>
      <c r="O46" s="32">
        <f>O26/(O44*O43)</f>
        <v/>
      </c>
      <c r="P46" s="32">
        <f>P26/(P44*P43)</f>
        <v/>
      </c>
      <c r="Q46" s="32">
        <f>Q26/(Q44*Q43)</f>
        <v/>
      </c>
    </row>
    <row r="47">
      <c r="A47" s="43" t="inlineStr">
        <is>
          <t>Real-estate new growth (all but business equipment)</t>
        </is>
      </c>
      <c r="C47" s="17">
        <f>SUM(C24:C27)</f>
        <v/>
      </c>
      <c r="D47" s="17">
        <f>SUM(D24:D27)</f>
        <v/>
      </c>
      <c r="E47" s="17">
        <f>SUM(E24:E27)</f>
        <v/>
      </c>
      <c r="F47" s="17">
        <f>SUM(F24:F27)</f>
        <v/>
      </c>
      <c r="G47" s="17">
        <f>SUM(G24:G27)</f>
        <v/>
      </c>
      <c r="H47" s="17">
        <f>SUM(H24:H27)</f>
        <v/>
      </c>
      <c r="I47" s="17">
        <f>SUM(I24:I27)</f>
        <v/>
      </c>
      <c r="J47" s="17">
        <f>SUM(J24:J27)</f>
        <v/>
      </c>
      <c r="K47" s="17">
        <f>SUM(K24:K27)</f>
        <v/>
      </c>
      <c r="L47" s="17">
        <f>SUM(L24:L27)</f>
        <v/>
      </c>
      <c r="M47" s="17">
        <f>SUM(M24:M27)</f>
        <v/>
      </c>
      <c r="N47" s="17">
        <f>SUM(N24:N27)</f>
        <v/>
      </c>
      <c r="O47" s="17">
        <f>SUM(O24:O27)</f>
        <v/>
      </c>
      <c r="P47" s="17">
        <f>SUM(P24:P27)</f>
        <v/>
      </c>
      <c r="Q47" s="17">
        <f>SUM(Q24:Q27)</f>
        <v/>
      </c>
    </row>
    <row r="49">
      <c r="A49" s="2" t="inlineStr">
        <is>
          <t>Local receipts that grow with construction</t>
        </is>
      </c>
    </row>
    <row r="50">
      <c r="A50" s="43" t="inlineStr">
        <is>
          <t>Building permit fee, share of construction cost</t>
        </is>
      </c>
      <c r="C50" s="11">
        <f>IF(C$4&gt;=2027,K_PermitRate27,K_PermitRate26)</f>
        <v/>
      </c>
      <c r="D50" s="11">
        <f>IF(D$4&gt;=2027,K_PermitRate27,K_PermitRate26)</f>
        <v/>
      </c>
      <c r="E50" s="11">
        <f>IF(E$4&gt;=2027,K_PermitRate27,K_PermitRate26)</f>
        <v/>
      </c>
      <c r="F50" s="11">
        <f>IF(F$4&gt;=2027,K_PermitRate27,K_PermitRate26)</f>
        <v/>
      </c>
      <c r="G50" s="11">
        <f>IF(G$4&gt;=2027,K_PermitRate27,K_PermitRate26)</f>
        <v/>
      </c>
      <c r="H50" s="11">
        <f>IF(H$4&gt;=2027,K_PermitRate27,K_PermitRate26)</f>
        <v/>
      </c>
      <c r="I50" s="11">
        <f>IF(I$4&gt;=2027,K_PermitRate27,K_PermitRate26)</f>
        <v/>
      </c>
      <c r="J50" s="11">
        <f>IF(J$4&gt;=2027,K_PermitRate27,K_PermitRate26)</f>
        <v/>
      </c>
      <c r="K50" s="11">
        <f>IF(K$4&gt;=2027,K_PermitRate27,K_PermitRate26)</f>
        <v/>
      </c>
      <c r="L50" s="11">
        <f>IF(L$4&gt;=2027,K_PermitRate27,K_PermitRate26)</f>
        <v/>
      </c>
      <c r="M50" s="11">
        <f>IF(M$4&gt;=2027,K_PermitRate27,K_PermitRate26)</f>
        <v/>
      </c>
      <c r="N50" s="11">
        <f>IF(N$4&gt;=2027,K_PermitRate27,K_PermitRate26)</f>
        <v/>
      </c>
      <c r="O50" s="11">
        <f>IF(O$4&gt;=2027,K_PermitRate27,K_PermitRate26)</f>
        <v/>
      </c>
      <c r="P50" s="11">
        <f>IF(P$4&gt;=2027,K_PermitRate27,K_PermitRate26)</f>
        <v/>
      </c>
      <c r="Q50" s="11">
        <f>IF(Q$4&gt;=2027,K_PermitRate27,K_PermitRate26)</f>
        <v/>
      </c>
    </row>
    <row r="51">
      <c r="A51" s="43" t="inlineStr">
        <is>
          <t>Building permit fees (on the construction value behind this year's real-estate new growth)</t>
        </is>
      </c>
      <c r="C51" s="17">
        <f>C50*((C24+C25)/C42+(C26+C27)/C43)</f>
        <v/>
      </c>
      <c r="D51" s="17">
        <f>D50*((D24+D25)/D42+(D26+D27)/D43)</f>
        <v/>
      </c>
      <c r="E51" s="17">
        <f>E50*((E24+E25)/E42+(E26+E27)/E43)</f>
        <v/>
      </c>
      <c r="F51" s="17">
        <f>F50*((F24+F25)/F42+(F26+F27)/F43)</f>
        <v/>
      </c>
      <c r="G51" s="17">
        <f>G50*((G24+G25)/G42+(G26+G27)/G43)</f>
        <v/>
      </c>
      <c r="H51" s="17">
        <f>H50*((H24+H25)/H42+(H26+H27)/H43)</f>
        <v/>
      </c>
      <c r="I51" s="17">
        <f>I50*((I24+I25)/I42+(I26+I27)/I43)</f>
        <v/>
      </c>
      <c r="J51" s="17">
        <f>J50*((J24+J25)/J42+(J26+J27)/J43)</f>
        <v/>
      </c>
      <c r="K51" s="17">
        <f>K50*((K24+K25)/K42+(K26+K27)/K43)</f>
        <v/>
      </c>
      <c r="L51" s="17">
        <f>L50*((L24+L25)/L42+(L26+L27)/L43)</f>
        <v/>
      </c>
      <c r="M51" s="17">
        <f>M50*((M24+M25)/M42+(M26+M27)/M43)</f>
        <v/>
      </c>
      <c r="N51" s="17">
        <f>N50*((N24+N25)/N42+(N26+N27)/N43)</f>
        <v/>
      </c>
      <c r="O51" s="17">
        <f>O50*((O24+O25)/O42+(O26+O27)/O43)</f>
        <v/>
      </c>
      <c r="P51" s="17">
        <f>P50*((P24+P25)/P42+(P26+P27)/P43)</f>
        <v/>
      </c>
      <c r="Q51" s="17">
        <f>Q50*((Q24+Q25)/Q42+(Q26+Q27)/Q43)</f>
        <v/>
      </c>
    </row>
    <row r="52">
      <c r="A52" s="43" t="inlineStr">
        <is>
          <t>Meals tax at existing restaurants</t>
        </is>
      </c>
      <c r="C52" s="17">
        <f>K_Meals2025*(1+K_MealsGrowth)^(C$4-2025)</f>
        <v/>
      </c>
      <c r="D52" s="17">
        <f>K_Meals2025*(1+K_MealsGrowth)^(D$4-2025)</f>
        <v/>
      </c>
      <c r="E52" s="17">
        <f>K_Meals2025*(1+K_MealsGrowth)^(E$4-2025)</f>
        <v/>
      </c>
      <c r="F52" s="17">
        <f>K_Meals2025*(1+K_MealsGrowth)^(F$4-2025)</f>
        <v/>
      </c>
      <c r="G52" s="17">
        <f>K_Meals2025*(1+K_MealsGrowth)^(G$4-2025)</f>
        <v/>
      </c>
      <c r="H52" s="17">
        <f>K_Meals2025*(1+K_MealsGrowth)^(H$4-2025)</f>
        <v/>
      </c>
      <c r="I52" s="17">
        <f>K_Meals2025*(1+K_MealsGrowth)^(I$4-2025)</f>
        <v/>
      </c>
      <c r="J52" s="17">
        <f>K_Meals2025*(1+K_MealsGrowth)^(J$4-2025)</f>
        <v/>
      </c>
      <c r="K52" s="17">
        <f>K_Meals2025*(1+K_MealsGrowth)^(K$4-2025)</f>
        <v/>
      </c>
      <c r="L52" s="17">
        <f>K_Meals2025*(1+K_MealsGrowth)^(L$4-2025)</f>
        <v/>
      </c>
      <c r="M52" s="17">
        <f>K_Meals2025*(1+K_MealsGrowth)^(M$4-2025)</f>
        <v/>
      </c>
      <c r="N52" s="17">
        <f>K_Meals2025*(1+K_MealsGrowth)^(N$4-2025)</f>
        <v/>
      </c>
      <c r="O52" s="17">
        <f>K_Meals2025*(1+K_MealsGrowth)^(O$4-2025)</f>
        <v/>
      </c>
      <c r="P52" s="17">
        <f>K_Meals2025*(1+K_MealsGrowth)^(P$4-2025)</f>
        <v/>
      </c>
      <c r="Q52" s="17">
        <f>K_Meals2025*(1+K_MealsGrowth)^(Q$4-2025)</f>
        <v/>
      </c>
    </row>
    <row r="53">
      <c r="A53" s="43" t="inlineStr">
        <is>
          <t>Commercial square feet added since FY2026</t>
        </is>
      </c>
      <c r="C53" s="32">
        <f>SUM($C$46:C46)</f>
        <v/>
      </c>
      <c r="D53" s="32">
        <f>SUM($C$46:D46)</f>
        <v/>
      </c>
      <c r="E53" s="32">
        <f>SUM($C$46:E46)</f>
        <v/>
      </c>
      <c r="F53" s="32">
        <f>SUM($C$46:F46)</f>
        <v/>
      </c>
      <c r="G53" s="32">
        <f>SUM($C$46:G46)</f>
        <v/>
      </c>
      <c r="H53" s="32">
        <f>SUM($C$46:H46)</f>
        <v/>
      </c>
      <c r="I53" s="32">
        <f>SUM($C$46:I46)</f>
        <v/>
      </c>
      <c r="J53" s="32">
        <f>SUM($C$46:J46)</f>
        <v/>
      </c>
      <c r="K53" s="32">
        <f>SUM($C$46:K46)</f>
        <v/>
      </c>
      <c r="L53" s="32">
        <f>SUM($C$46:L46)</f>
        <v/>
      </c>
      <c r="M53" s="32">
        <f>SUM($C$46:M46)</f>
        <v/>
      </c>
      <c r="N53" s="32">
        <f>SUM($C$46:N46)</f>
        <v/>
      </c>
      <c r="O53" s="32">
        <f>SUM($C$46:O46)</f>
        <v/>
      </c>
      <c r="P53" s="32">
        <f>SUM($C$46:P46)</f>
        <v/>
      </c>
      <c r="Q53" s="32">
        <f>SUM($C$46:Q46)</f>
        <v/>
      </c>
    </row>
    <row r="54">
      <c r="A54" s="43" t="inlineStr">
        <is>
          <t>Meals tax from new commercial space</t>
        </is>
      </c>
      <c r="C54" s="17">
        <f>K_MealsPerSqft*C53</f>
        <v/>
      </c>
      <c r="D54" s="17">
        <f>K_MealsPerSqft*D53</f>
        <v/>
      </c>
      <c r="E54" s="17">
        <f>K_MealsPerSqft*E53</f>
        <v/>
      </c>
      <c r="F54" s="17">
        <f>K_MealsPerSqft*F53</f>
        <v/>
      </c>
      <c r="G54" s="17">
        <f>K_MealsPerSqft*G53</f>
        <v/>
      </c>
      <c r="H54" s="17">
        <f>K_MealsPerSqft*H53</f>
        <v/>
      </c>
      <c r="I54" s="17">
        <f>K_MealsPerSqft*I53</f>
        <v/>
      </c>
      <c r="J54" s="17">
        <f>K_MealsPerSqft*J53</f>
        <v/>
      </c>
      <c r="K54" s="17">
        <f>K_MealsPerSqft*K53</f>
        <v/>
      </c>
      <c r="L54" s="17">
        <f>K_MealsPerSqft*L53</f>
        <v/>
      </c>
      <c r="M54" s="17">
        <f>K_MealsPerSqft*M53</f>
        <v/>
      </c>
      <c r="N54" s="17">
        <f>K_MealsPerSqft*N53</f>
        <v/>
      </c>
      <c r="O54" s="17">
        <f>K_MealsPerSqft*O53</f>
        <v/>
      </c>
      <c r="P54" s="17">
        <f>K_MealsPerSqft*P53</f>
        <v/>
      </c>
      <c r="Q54" s="17">
        <f>K_MealsPerSqft*Q53</f>
        <v/>
      </c>
    </row>
    <row r="55">
      <c r="A55" s="43" t="inlineStr">
        <is>
          <t>Chestnut Hill: rooms tax and motor vehicle excise</t>
        </is>
      </c>
      <c r="C55" s="17">
        <f>ChcaLR*C29*(1+R_LRbase)^(C$4-K_ChcaDollarYr)</f>
        <v/>
      </c>
      <c r="D55" s="17">
        <f>ChcaLR*D29*(1+R_LRbase)^(D$4-K_ChcaDollarYr)</f>
        <v/>
      </c>
      <c r="E55" s="17">
        <f>ChcaLR*E29*(1+R_LRbase)^(E$4-K_ChcaDollarYr)</f>
        <v/>
      </c>
      <c r="F55" s="17">
        <f>ChcaLR*F29*(1+R_LRbase)^(F$4-K_ChcaDollarYr)</f>
        <v/>
      </c>
      <c r="G55" s="17">
        <f>ChcaLR*G29*(1+R_LRbase)^(G$4-K_ChcaDollarYr)</f>
        <v/>
      </c>
      <c r="H55" s="17">
        <f>ChcaLR*H29*(1+R_LRbase)^(H$4-K_ChcaDollarYr)</f>
        <v/>
      </c>
      <c r="I55" s="17">
        <f>ChcaLR*I29*(1+R_LRbase)^(I$4-K_ChcaDollarYr)</f>
        <v/>
      </c>
      <c r="J55" s="17">
        <f>ChcaLR*J29*(1+R_LRbase)^(J$4-K_ChcaDollarYr)</f>
        <v/>
      </c>
      <c r="K55" s="17">
        <f>ChcaLR*K29*(1+R_LRbase)^(K$4-K_ChcaDollarYr)</f>
        <v/>
      </c>
      <c r="L55" s="17">
        <f>ChcaLR*L29*(1+R_LRbase)^(L$4-K_ChcaDollarYr)</f>
        <v/>
      </c>
      <c r="M55" s="17">
        <f>ChcaLR*M29*(1+R_LRbase)^(M$4-K_ChcaDollarYr)</f>
        <v/>
      </c>
      <c r="N55" s="17">
        <f>ChcaLR*N29*(1+R_LRbase)^(N$4-K_ChcaDollarYr)</f>
        <v/>
      </c>
      <c r="O55" s="17">
        <f>ChcaLR*O29*(1+R_LRbase)^(O$4-K_ChcaDollarYr)</f>
        <v/>
      </c>
      <c r="P55" s="17">
        <f>ChcaLR*P29*(1+R_LRbase)^(P$4-K_ChcaDollarYr)</f>
        <v/>
      </c>
      <c r="Q55" s="17">
        <f>ChcaLR*Q29*(1+R_LRbase)^(Q$4-K_ChcaDollarYr)</f>
        <v/>
      </c>
    </row>
    <row r="56">
      <c r="A56" s="45" t="inlineStr">
        <is>
          <t>Local receipts tied to growth</t>
        </is>
      </c>
      <c r="B56" s="27" t="n"/>
      <c r="C56" s="29">
        <f>C51+C52+C54+C55+K_InvFlat</f>
        <v/>
      </c>
      <c r="D56" s="29">
        <f>D51+D52+D54+D55+K_InvFlat</f>
        <v/>
      </c>
      <c r="E56" s="29">
        <f>E51+E52+E54+E55+K_InvFlat</f>
        <v/>
      </c>
      <c r="F56" s="29">
        <f>F51+F52+F54+F55+K_InvFlat</f>
        <v/>
      </c>
      <c r="G56" s="29">
        <f>G51+G52+G54+G55+K_InvFlat</f>
        <v/>
      </c>
      <c r="H56" s="29">
        <f>H51+H52+H54+H55+K_InvFlat</f>
        <v/>
      </c>
      <c r="I56" s="29">
        <f>I51+I52+I54+I55+K_InvFlat</f>
        <v/>
      </c>
      <c r="J56" s="29">
        <f>J51+J52+J54+J55+K_InvFlat</f>
        <v/>
      </c>
      <c r="K56" s="29">
        <f>K51+K52+K54+K55+K_InvFlat</f>
        <v/>
      </c>
      <c r="L56" s="29">
        <f>L51+L52+L54+L55+K_InvFlat</f>
        <v/>
      </c>
      <c r="M56" s="29">
        <f>M51+M52+M54+M55+K_InvFlat</f>
        <v/>
      </c>
      <c r="N56" s="29">
        <f>N51+N52+N54+N55+K_InvFlat</f>
        <v/>
      </c>
      <c r="O56" s="29">
        <f>O51+O52+O54+O55+K_InvFlat</f>
        <v/>
      </c>
      <c r="P56" s="29">
        <f>P51+P52+P54+P55+K_InvFlat</f>
        <v/>
      </c>
      <c r="Q56" s="29">
        <f>Q51+Q52+Q54+Q55+K_InvFlat</f>
        <v/>
      </c>
    </row>
    <row r="58">
      <c r="A58" s="2" t="inlineStr">
        <is>
          <t>Other available funds</t>
        </is>
      </c>
    </row>
    <row r="59">
      <c r="A59" s="43" t="inlineStr">
        <is>
          <t>Other available funds (Town plan; FY2027 adopted; override fund drawn FY2028 to FY2030; FY2031 level after)</t>
        </is>
      </c>
      <c r="C59" s="17">
        <f>Data!C7+N(Data!C9)</f>
        <v/>
      </c>
      <c r="D59" s="17">
        <f>A_OtherFunds</f>
        <v/>
      </c>
      <c r="E59" s="17">
        <f>Data!E7+N(Data!E9)</f>
        <v/>
      </c>
      <c r="F59" s="17">
        <f>Data!F7+N(Data!F9)</f>
        <v/>
      </c>
      <c r="G59" s="17">
        <f>Data!G7+N(Data!G9)</f>
        <v/>
      </c>
      <c r="H59" s="17">
        <f>Data!H7+N(Data!H9)</f>
        <v/>
      </c>
      <c r="I59" s="17">
        <f>$H$59</f>
        <v/>
      </c>
      <c r="J59" s="17">
        <f>$H$59</f>
        <v/>
      </c>
      <c r="K59" s="17">
        <f>$H$59</f>
        <v/>
      </c>
      <c r="L59" s="17">
        <f>$H$59</f>
        <v/>
      </c>
      <c r="M59" s="17">
        <f>$H$59</f>
        <v/>
      </c>
      <c r="N59" s="17">
        <f>$H$59</f>
        <v/>
      </c>
      <c r="O59" s="17">
        <f>$H$59</f>
        <v/>
      </c>
      <c r="P59" s="17">
        <f>$H$59</f>
        <v/>
      </c>
      <c r="Q59" s="17">
        <f>$H$59</f>
        <v/>
      </c>
    </row>
    <row r="61">
      <c r="A61" s="2" t="inlineStr">
        <is>
          <t>The same at the recent trend, for comparison (the Explorer's planning staff and student counts need it)</t>
        </is>
      </c>
    </row>
    <row r="62">
      <c r="A62" s="43" t="inlineStr">
        <is>
          <t>Last year's levy limit, trend</t>
        </is>
      </c>
      <c r="C62" s="17">
        <f>Levy2025</f>
        <v/>
      </c>
      <c r="D62" s="17">
        <f>C65</f>
        <v/>
      </c>
      <c r="E62" s="17">
        <f>D65</f>
        <v/>
      </c>
      <c r="F62" s="17">
        <f>E65</f>
        <v/>
      </c>
      <c r="G62" s="17">
        <f>F65</f>
        <v/>
      </c>
      <c r="H62" s="17">
        <f>G65</f>
        <v/>
      </c>
      <c r="I62" s="17">
        <f>H65</f>
        <v/>
      </c>
      <c r="J62" s="17">
        <f>I65</f>
        <v/>
      </c>
      <c r="K62" s="17">
        <f>J65</f>
        <v/>
      </c>
      <c r="L62" s="17">
        <f>K65</f>
        <v/>
      </c>
      <c r="M62" s="17">
        <f>L65</f>
        <v/>
      </c>
      <c r="N62" s="17">
        <f>M65</f>
        <v/>
      </c>
      <c r="O62" s="17">
        <f>N65</f>
        <v/>
      </c>
      <c r="P62" s="17">
        <f>O65</f>
        <v/>
      </c>
      <c r="Q62" s="17">
        <f>P65</f>
        <v/>
      </c>
    </row>
    <row r="63">
      <c r="A63" s="43" t="inlineStr">
        <is>
          <t>New growth, all, trend</t>
        </is>
      </c>
      <c r="C63" s="17">
        <f>(K_ResNewPct+K_ResRenoPct+K_ComNewPct+K_ComRenoPct+K_PP)*C62+C31</f>
        <v/>
      </c>
      <c r="D63" s="17">
        <f>K_TownNG</f>
        <v/>
      </c>
      <c r="E63" s="17">
        <f>(K_ResNewPct+K_ResRenoPct+K_ComNewPct+K_ComRenoPct+K_PP)*E62+E31</f>
        <v/>
      </c>
      <c r="F63" s="17">
        <f>(K_ResNewPct+K_ResRenoPct+K_ComNewPct+K_ComRenoPct+K_PP)*F62+F31</f>
        <v/>
      </c>
      <c r="G63" s="17">
        <f>(K_ResNewPct+K_ResRenoPct+K_ComNewPct+K_ComRenoPct+K_PP)*G62+G31</f>
        <v/>
      </c>
      <c r="H63" s="17">
        <f>(K_ResNewPct+K_ResRenoPct+K_ComNewPct+K_ComRenoPct+K_PP)*H62+H31</f>
        <v/>
      </c>
      <c r="I63" s="17">
        <f>(K_ResNewPct+K_ResRenoPct+K_ComNewPct+K_ComRenoPct+K_PP)*I62+I31</f>
        <v/>
      </c>
      <c r="J63" s="17">
        <f>(K_ResNewPct+K_ResRenoPct+K_ComNewPct+K_ComRenoPct+K_PP)*J62+J31</f>
        <v/>
      </c>
      <c r="K63" s="17">
        <f>(K_ResNewPct+K_ResRenoPct+K_ComNewPct+K_ComRenoPct+K_PP)*K62+K31</f>
        <v/>
      </c>
      <c r="L63" s="17">
        <f>(K_ResNewPct+K_ResRenoPct+K_ComNewPct+K_ComRenoPct+K_PP)*L62+L31</f>
        <v/>
      </c>
      <c r="M63" s="17">
        <f>(K_ResNewPct+K_ResRenoPct+K_ComNewPct+K_ComRenoPct+K_PP)*M62+M31</f>
        <v/>
      </c>
      <c r="N63" s="17">
        <f>(K_ResNewPct+K_ResRenoPct+K_ComNewPct+K_ComRenoPct+K_PP)*N62+N31</f>
        <v/>
      </c>
      <c r="O63" s="17">
        <f>(K_ResNewPct+K_ResRenoPct+K_ComNewPct+K_ComRenoPct+K_PP)*O62+O31</f>
        <v/>
      </c>
      <c r="P63" s="17">
        <f>(K_ResNewPct+K_ResRenoPct+K_ComNewPct+K_ComRenoPct+K_PP)*P62+P31</f>
        <v/>
      </c>
      <c r="Q63" s="17">
        <f>(K_ResNewPct+K_ResRenoPct+K_ComNewPct+K_ComRenoPct+K_PP)*Q62+Q31</f>
        <v/>
      </c>
    </row>
    <row r="64">
      <c r="A64" s="43" t="inlineStr">
        <is>
          <t>Difference from the Town plan, trend</t>
        </is>
      </c>
      <c r="C64" s="17">
        <f>0</f>
        <v/>
      </c>
      <c r="D64" s="17">
        <f>C64*(1+K_LevyCap)+(D63-K_TownNG)</f>
        <v/>
      </c>
      <c r="E64" s="17">
        <f>D64*(1+K_LevyCap)+(E63-K_TownNG)</f>
        <v/>
      </c>
      <c r="F64" s="17">
        <f>E64*(1+K_LevyCap)+(F63-K_TownNG)</f>
        <v/>
      </c>
      <c r="G64" s="17">
        <f>F64*(1+K_LevyCap)+(G63-K_TownNG)</f>
        <v/>
      </c>
      <c r="H64" s="17">
        <f>G64*(1+K_LevyCap)+(H63-K_TownNG)</f>
        <v/>
      </c>
    </row>
    <row r="65">
      <c r="A65" s="43" t="inlineStr">
        <is>
          <t>Levy limit, trend</t>
        </is>
      </c>
      <c r="C65" s="17">
        <f>C19+C64</f>
        <v/>
      </c>
      <c r="D65" s="17">
        <f>D19+D64</f>
        <v/>
      </c>
      <c r="E65" s="17">
        <f>E19+E64</f>
        <v/>
      </c>
      <c r="F65" s="17">
        <f>F19+F64</f>
        <v/>
      </c>
      <c r="G65" s="17">
        <f>G19+G64</f>
        <v/>
      </c>
      <c r="H65" s="17">
        <f>H19+H64</f>
        <v/>
      </c>
      <c r="I65" s="17">
        <f>H65*(1+K_LevyCap)+I63</f>
        <v/>
      </c>
      <c r="J65" s="17">
        <f>I65*(1+K_LevyCap)+J63</f>
        <v/>
      </c>
      <c r="K65" s="17">
        <f>J65*(1+K_LevyCap)+K63</f>
        <v/>
      </c>
      <c r="L65" s="17">
        <f>K65*(1+K_LevyCap)+L63</f>
        <v/>
      </c>
      <c r="M65" s="17">
        <f>L65*(1+K_LevyCap)+M63</f>
        <v/>
      </c>
      <c r="N65" s="17">
        <f>M65*(1+K_LevyCap)+N63</f>
        <v/>
      </c>
      <c r="O65" s="17">
        <f>N65*(1+K_LevyCap)+O63</f>
        <v/>
      </c>
      <c r="P65" s="17">
        <f>O65*(1+K_LevyCap)+P63</f>
        <v/>
      </c>
      <c r="Q65" s="17">
        <f>P65*(1+K_LevyCap)+Q63</f>
        <v/>
      </c>
    </row>
    <row r="66">
      <c r="A66" s="43" t="inlineStr">
        <is>
          <t>Homes added this year, trend</t>
        </is>
      </c>
      <c r="C66" s="33">
        <f>K_ResNewPct*C62/(C41*C42)</f>
        <v/>
      </c>
      <c r="D66" s="33">
        <f>K_ResNewPct*D62/(D41*D42)</f>
        <v/>
      </c>
      <c r="E66" s="33">
        <f>K_ResNewPct*E62/(E41*E42)</f>
        <v/>
      </c>
      <c r="F66" s="33">
        <f>K_ResNewPct*F62/(F41*F42)</f>
        <v/>
      </c>
      <c r="G66" s="33">
        <f>K_ResNewPct*G62/(G41*G42)</f>
        <v/>
      </c>
      <c r="H66" s="33">
        <f>K_ResNewPct*H62/(H41*H42)</f>
        <v/>
      </c>
      <c r="I66" s="33">
        <f>K_ResNewPct*I62/(I41*I42)</f>
        <v/>
      </c>
      <c r="J66" s="33">
        <f>K_ResNewPct*J62/(J41*J42)</f>
        <v/>
      </c>
      <c r="K66" s="33">
        <f>K_ResNewPct*K62/(K41*K42)</f>
        <v/>
      </c>
      <c r="L66" s="33">
        <f>K_ResNewPct*L62/(L41*L42)</f>
        <v/>
      </c>
      <c r="M66" s="33">
        <f>K_ResNewPct*M62/(M41*M42)</f>
        <v/>
      </c>
      <c r="N66" s="33">
        <f>K_ResNewPct*N62/(N41*N42)</f>
        <v/>
      </c>
      <c r="O66" s="33">
        <f>K_ResNewPct*O62/(O41*O42)</f>
        <v/>
      </c>
      <c r="P66" s="33">
        <f>K_ResNewPct*P62/(P41*P42)</f>
        <v/>
      </c>
      <c r="Q66" s="33">
        <f>K_ResNewPct*Q62/(Q41*Q42)</f>
        <v/>
      </c>
    </row>
    <row r="67">
      <c r="A67" s="43" t="inlineStr">
        <is>
          <t>Real-estate new growth, trend</t>
        </is>
      </c>
      <c r="C67" s="17">
        <f>(K_ResNewPct+K_ResRenoPct+K_ComNewPct+K_ComRenoPct)*C62</f>
        <v/>
      </c>
      <c r="D67" s="17">
        <f>(K_ResNewPct+K_ResRenoPct+K_ComNewPct+K_ComRenoPct)*D62</f>
        <v/>
      </c>
      <c r="E67" s="17">
        <f>(K_ResNewPct+K_ResRenoPct+K_ComNewPct+K_ComRenoPct)*E62</f>
        <v/>
      </c>
      <c r="F67" s="17">
        <f>(K_ResNewPct+K_ResRenoPct+K_ComNewPct+K_ComRenoPct)*F62</f>
        <v/>
      </c>
      <c r="G67" s="17">
        <f>(K_ResNewPct+K_ResRenoPct+K_ComNewPct+K_ComRenoPct)*G62</f>
        <v/>
      </c>
      <c r="H67" s="17">
        <f>(K_ResNewPct+K_ResRenoPct+K_ComNewPct+K_ComRenoPct)*H62</f>
        <v/>
      </c>
      <c r="I67" s="17">
        <f>(K_ResNewPct+K_ResRenoPct+K_ComNewPct+K_ComRenoPct)*I62</f>
        <v/>
      </c>
      <c r="J67" s="17">
        <f>(K_ResNewPct+K_ResRenoPct+K_ComNewPct+K_ComRenoPct)*J62</f>
        <v/>
      </c>
      <c r="K67" s="17">
        <f>(K_ResNewPct+K_ResRenoPct+K_ComNewPct+K_ComRenoPct)*K62</f>
        <v/>
      </c>
      <c r="L67" s="17">
        <f>(K_ResNewPct+K_ResRenoPct+K_ComNewPct+K_ComRenoPct)*L62</f>
        <v/>
      </c>
      <c r="M67" s="17">
        <f>(K_ResNewPct+K_ResRenoPct+K_ComNewPct+K_ComRenoPct)*M62</f>
        <v/>
      </c>
      <c r="N67" s="17">
        <f>(K_ResNewPct+K_ResRenoPct+K_ComNewPct+K_ComRenoPct)*N62</f>
        <v/>
      </c>
      <c r="O67" s="17">
        <f>(K_ResNewPct+K_ResRenoPct+K_ComNewPct+K_ComRenoPct)*O62</f>
        <v/>
      </c>
      <c r="P67" s="17">
        <f>(K_ResNewPct+K_ResRenoPct+K_ComNewPct+K_ComRenoPct)*P62</f>
        <v/>
      </c>
      <c r="Q67" s="17">
        <f>(K_ResNewPct+K_ResRenoPct+K_ComNewPct+K_ComRenoPct)*Q62</f>
        <v/>
      </c>
    </row>
  </sheetData>
  <mergeCells count="1">
    <mergeCell ref="A2:Q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46" customWidth="1" min="1" max="1"/>
    <col width="18" customWidth="1" min="2" max="2"/>
    <col width="100" customWidth="1" min="3" max="3"/>
    <col width="24" customWidth="1" min="4" max="4"/>
  </cols>
  <sheetData>
    <row r="1">
      <c r="A1" s="1" t="inlineStr">
        <is>
          <t>Worked example: FY2033, step by step</t>
        </is>
      </c>
    </row>
    <row r="2" ht="48" customHeight="1">
      <c r="A2" s="4" t="inlineStr">
        <is>
          <t>FY2033 is the first full year after the Town's plan ends, so the levy is carried forward by the forecast alone. Each value is a live cell: change a setting and this page follows. The last column says where the same step is done for every year.</t>
        </is>
      </c>
    </row>
    <row r="4">
      <c r="A4" s="5" t="inlineStr">
        <is>
          <t>Step</t>
        </is>
      </c>
      <c r="B4" s="5" t="inlineStr">
        <is>
          <t>Value</t>
        </is>
      </c>
      <c r="C4" s="5" t="inlineStr">
        <is>
          <t>How</t>
        </is>
      </c>
      <c r="D4" s="5" t="inlineStr">
        <is>
          <t>Where every year is done</t>
        </is>
      </c>
    </row>
    <row r="5">
      <c r="A5" s="2" t="inlineStr">
        <is>
          <t>Property tax</t>
        </is>
      </c>
    </row>
    <row r="6">
      <c r="A6" t="inlineStr">
        <is>
          <t>Levy limit, FY2032</t>
        </is>
      </c>
      <c r="B6" s="17">
        <f>'Revenue build'!I36</f>
        <v/>
      </c>
      <c r="C6" s="3" t="inlineStr">
        <is>
          <t>Debt exclusions set aside.</t>
        </is>
      </c>
      <c r="D6" s="20" t="inlineStr">
        <is>
          <t>Revenue build</t>
        </is>
      </c>
    </row>
    <row r="7">
      <c r="A7" t="inlineStr">
        <is>
          <t>Plus 2.5%</t>
        </is>
      </c>
      <c r="B7" s="17">
        <f>B6*K_LevyCap</f>
        <v/>
      </c>
      <c r="C7" s="3" t="inlineStr">
        <is>
          <t>Proposition 2½.</t>
        </is>
      </c>
      <c r="D7" s="20" t="inlineStr">
        <is>
          <t>Revenue build</t>
        </is>
      </c>
    </row>
    <row r="8">
      <c r="A8" t="inlineStr">
        <is>
          <t>Plus new growth: new homes</t>
        </is>
      </c>
      <c r="B8" s="17">
        <f>'Revenue build'!J24</f>
        <v/>
      </c>
      <c r="C8" s="3">
        <f>"Rate "&amp;TEXT(Rate_ResNew,"0.000%")&amp;" of last year's levy limit"</f>
        <v/>
      </c>
      <c r="D8" s="20" t="inlineStr">
        <is>
          <t>Revenue build</t>
        </is>
      </c>
    </row>
    <row r="9">
      <c r="A9" t="inlineStr">
        <is>
          <t>Plus new growth: home renovation</t>
        </is>
      </c>
      <c r="B9" s="17">
        <f>'Revenue build'!J25</f>
        <v/>
      </c>
      <c r="C9" s="3">
        <f>"Rate "&amp;TEXT(Rate_ResReno,"0.000%")</f>
        <v/>
      </c>
      <c r="D9" s="20" t="inlineStr">
        <is>
          <t>Revenue build</t>
        </is>
      </c>
    </row>
    <row r="10">
      <c r="A10" t="inlineStr">
        <is>
          <t>Plus new growth: new commercial space</t>
        </is>
      </c>
      <c r="B10" s="17">
        <f>'Revenue build'!J26</f>
        <v/>
      </c>
      <c r="C10" s="3">
        <f>"Rate "&amp;TEXT(Rate_ComNew,"0.000%")</f>
        <v/>
      </c>
      <c r="D10" s="20" t="inlineStr">
        <is>
          <t>Revenue build</t>
        </is>
      </c>
    </row>
    <row r="11">
      <c r="A11" t="inlineStr">
        <is>
          <t>Plus new growth: commercial renovation</t>
        </is>
      </c>
      <c r="B11" s="17">
        <f>'Revenue build'!J27</f>
        <v/>
      </c>
      <c r="C11" s="3">
        <f>"Rate "&amp;TEXT(Rate_ComReno,"0.000%")</f>
        <v/>
      </c>
      <c r="D11" s="20" t="inlineStr">
        <is>
          <t>Revenue build</t>
        </is>
      </c>
    </row>
    <row r="12">
      <c r="A12" t="inlineStr">
        <is>
          <t>Plus new growth: business equipment</t>
        </is>
      </c>
      <c r="B12" s="17">
        <f>'Revenue build'!J28</f>
        <v/>
      </c>
      <c r="C12" s="3">
        <f>"Rate "&amp;TEXT(Rate_PP,"0.000%")</f>
        <v/>
      </c>
      <c r="D12" s="20" t="inlineStr">
        <is>
          <t>Revenue build</t>
        </is>
      </c>
    </row>
    <row r="13">
      <c r="A13" t="inlineStr">
        <is>
          <t>Plus Chestnut Hill added this year</t>
        </is>
      </c>
      <c r="B13" s="17">
        <f>'Revenue build'!J31</f>
        <v/>
      </c>
      <c r="C13" s="3" t="inlineStr">
        <is>
          <t>Fully built by FY2034.</t>
        </is>
      </c>
      <c r="D13" s="20" t="inlineStr">
        <is>
          <t>Revenue build</t>
        </is>
      </c>
    </row>
    <row r="14">
      <c r="A14" s="27" t="inlineStr">
        <is>
          <t>Levy limit, FY2033</t>
        </is>
      </c>
      <c r="B14" s="29">
        <f>SUM(B6:B13)</f>
        <v/>
      </c>
      <c r="C14" s="3" t="inlineStr"/>
      <c r="D14" s="20" t="inlineStr">
        <is>
          <t>Revenue build</t>
        </is>
      </c>
    </row>
    <row r="15">
      <c r="A15" t="inlineStr">
        <is>
          <t>Check: same as Revenue build</t>
        </is>
      </c>
      <c r="B15" s="17">
        <f>B14-'Revenue build'!J36</f>
        <v/>
      </c>
      <c r="C15" s="3" t="inlineStr">
        <is>
          <t>Should be 0.</t>
        </is>
      </c>
      <c r="D15" s="20" t="inlineStr"/>
    </row>
    <row r="16">
      <c r="A16" t="inlineStr">
        <is>
          <t>Homes the new-homes growth stands for</t>
        </is>
      </c>
      <c r="B16" s="32">
        <f>B8/('Revenue build'!J41*'Revenue build'!J42)</f>
        <v/>
      </c>
      <c r="C16" s="3">
        <f>"New homes growth / (value of a new home "&amp;TEXT('Revenue build'!J41,"$#,##0")&amp;" x residential tax rate "&amp;TEXT('Revenue build'!J42,"0.000%")&amp;")"</f>
        <v/>
      </c>
      <c r="D16" s="20" t="inlineStr">
        <is>
          <t>Revenue build</t>
        </is>
      </c>
    </row>
    <row r="17">
      <c r="A17" s="2" t="inlineStr">
        <is>
          <t>Revenue</t>
        </is>
      </c>
    </row>
    <row r="18">
      <c r="A18" t="inlineStr">
        <is>
          <t>Property tax, debt exclusions set aside</t>
        </is>
      </c>
      <c r="B18" s="17">
        <f>Forecast!J7</f>
        <v/>
      </c>
      <c r="C18" s="3" t="inlineStr">
        <is>
          <t>The levy limit above.</t>
        </is>
      </c>
      <c r="D18" s="20" t="inlineStr">
        <is>
          <t>Forecast</t>
        </is>
      </c>
    </row>
    <row r="19">
      <c r="A19" t="inlineStr">
        <is>
          <t>State aid</t>
        </is>
      </c>
      <c r="B19" s="17">
        <f>Forecast!J8</f>
        <v/>
      </c>
      <c r="C19" s="3">
        <f>"FY2027 state aid grown "&amp;TEXT(StateAidGrowth,"0.00%")&amp;" a year"</f>
        <v/>
      </c>
      <c r="D19" s="20" t="inlineStr">
        <is>
          <t>Forecast</t>
        </is>
      </c>
    </row>
    <row r="20">
      <c r="A20" t="inlineStr">
        <is>
          <t>Local receipts, as budgeted</t>
        </is>
      </c>
      <c r="B20" s="17">
        <f>Forecast!J9</f>
        <v/>
      </c>
      <c r="C20" s="3">
        <f>"Receipts not tied to growth, grown "&amp;TEXT(ReceiptsGrowth,"0.00%")&amp;" a year, plus permits and meals tax; budgeted at "&amp;TEXT(R_BudgetRatio,"0%")&amp;" of what is collected"</f>
        <v/>
      </c>
      <c r="D20" s="20" t="inlineStr">
        <is>
          <t>Forecast</t>
        </is>
      </c>
    </row>
    <row r="21">
      <c r="A21" t="inlineStr">
        <is>
          <t>Free cash</t>
        </is>
      </c>
      <c r="B21" s="17">
        <f>Forecast!J10</f>
        <v/>
      </c>
      <c r="C21" s="3">
        <f>"The surplus of FY2031 times "&amp;TEXT(R_ApprShare,"0%")</f>
        <v/>
      </c>
      <c r="D21" s="20" t="inlineStr">
        <is>
          <t>Forecast</t>
        </is>
      </c>
    </row>
    <row r="22">
      <c r="A22" t="inlineStr">
        <is>
          <t>Other available funds and any further override</t>
        </is>
      </c>
      <c r="B22" s="17">
        <f>Forecast!J11+Forecast!J12</f>
        <v/>
      </c>
      <c r="C22" s="3" t="inlineStr"/>
      <c r="D22" s="20" t="inlineStr">
        <is>
          <t>Forecast</t>
        </is>
      </c>
    </row>
    <row r="23">
      <c r="A23" s="27" t="inlineStr">
        <is>
          <t>Total revenue</t>
        </is>
      </c>
      <c r="B23" s="29">
        <f>SUM(B18:B22)</f>
        <v/>
      </c>
      <c r="C23" s="3" t="inlineStr"/>
      <c r="D23" s="20" t="inlineStr">
        <is>
          <t>Forecast</t>
        </is>
      </c>
    </row>
    <row r="24">
      <c r="A24" s="2" t="inlineStr">
        <is>
          <t>Spending</t>
        </is>
      </c>
    </row>
    <row r="25">
      <c r="A25" t="inlineStr">
        <is>
          <t>Town departments, today's services</t>
        </is>
      </c>
      <c r="B25" s="17">
        <f>Forecast!J16</f>
        <v/>
      </c>
      <c r="C25" s="3">
        <f>"FY2027 budget x ("&amp;TEXT(K_pD,"0%")&amp;" pay x pay index "&amp;TEXT(Forecast!J66,"0.000")&amp;" + the rest x price index "&amp;TEXT(Forecast!J58,"0.000")&amp;")"</f>
        <v/>
      </c>
      <c r="D25" s="20" t="inlineStr">
        <is>
          <t>Forecast</t>
        </is>
      </c>
    </row>
    <row r="26">
      <c r="A26" t="inlineStr">
        <is>
          <t>Town services for added homes and businesses</t>
        </is>
      </c>
      <c r="B26" s="17">
        <f>Forecast!J17</f>
        <v/>
      </c>
      <c r="C26" s="3">
        <f>TEXT(Forecast!J34,"#,##0")&amp;" homes added since FY2027 at "&amp;TEXT(CostHome,"$#,##0")&amp;" (FY2025 $, less fire's share, which comes as a company), plus any fire company and police steps"</f>
        <v/>
      </c>
      <c r="D26" s="20" t="inlineStr">
        <is>
          <t>Forecast</t>
        </is>
      </c>
    </row>
    <row r="27">
      <c r="A27" t="inlineStr">
        <is>
          <t>Schools</t>
        </is>
      </c>
      <c r="B27" s="17">
        <f>Forecast!J18</f>
        <v/>
      </c>
      <c r="C27" s="3">
        <f>"FY2027 budget: pay part x pay index x staff "&amp;TEXT(Forecast!J33,"#,##0")&amp;" / "&amp;TEXT(Staff27,"#,##0")&amp;"; the rest x prices, two thirds moving with enrollment "&amp;TEXT(Forecast!J32,"#,##0")</f>
        <v/>
      </c>
      <c r="D27" s="20" t="inlineStr">
        <is>
          <t>Forecast</t>
        </is>
      </c>
    </row>
    <row r="28">
      <c r="A28" t="inlineStr">
        <is>
          <t>Health insurance</t>
        </is>
      </c>
      <c r="B28" s="17">
        <f>Forecast!J19</f>
        <v/>
      </c>
      <c r="C28" s="3">
        <f>"FY2027 budget x subscribers "&amp;TEXT(Forecast!J71,"0.000")&amp;" x premiums "&amp;TEXT(Forecast!J60,"0.000")</f>
        <v/>
      </c>
      <c r="D28" s="20" t="inlineStr">
        <is>
          <t>Forecast</t>
        </is>
      </c>
    </row>
    <row r="29">
      <c r="A29" t="inlineStr">
        <is>
          <t>Pensions, retiree health, other benefits</t>
        </is>
      </c>
      <c r="B29" s="17">
        <f>Forecast!J21+Forecast!J22+Forecast!J23+Forecast!J20</f>
        <v/>
      </c>
      <c r="C29" s="3" t="inlineStr">
        <is>
          <t>Town schedules to FY2031, then with payroll; benefits for staff added by growth.</t>
        </is>
      </c>
      <c r="D29" s="20" t="inlineStr">
        <is>
          <t>Forecast</t>
        </is>
      </c>
    </row>
    <row r="30">
      <c r="A30" t="inlineStr">
        <is>
          <t>Debt within the levy; capital, reserves and other</t>
        </is>
      </c>
      <c r="B30" s="17">
        <f>Forecast!J24+Forecast!J25</f>
        <v/>
      </c>
      <c r="C30" s="3" t="inlineStr"/>
      <c r="D30" s="20" t="inlineStr">
        <is>
          <t>Forecast</t>
        </is>
      </c>
    </row>
    <row r="31">
      <c r="A31" s="27" t="inlineStr">
        <is>
          <t>Total spending</t>
        </is>
      </c>
      <c r="B31" s="29">
        <f>SUM(B25:B30)</f>
        <v/>
      </c>
      <c r="C31" s="3" t="inlineStr"/>
      <c r="D31" s="20" t="inlineStr">
        <is>
          <t>Forecast</t>
        </is>
      </c>
    </row>
    <row r="32">
      <c r="A32" s="27" t="inlineStr">
        <is>
          <t>Room: revenue minus spending</t>
        </is>
      </c>
      <c r="B32" s="29">
        <f>B23-B31</f>
        <v/>
      </c>
      <c r="C32" s="3" t="inlineStr"/>
      <c r="D32" s="20" t="inlineStr">
        <is>
          <t>Forecast</t>
        </is>
      </c>
    </row>
    <row r="33">
      <c r="A33" t="inlineStr">
        <is>
          <t>Check: same as Forecast</t>
        </is>
      </c>
      <c r="B33" s="17">
        <f>B32-Forecast!J29</f>
        <v/>
      </c>
      <c r="C33" s="3" t="inlineStr">
        <is>
          <t>Should be 0.</t>
        </is>
      </c>
      <c r="D33" s="20" t="inlineStr"/>
    </row>
  </sheetData>
  <mergeCells count="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5" customWidth="1" min="1" max="1"/>
    <col width="50" customWidth="1" min="2" max="2"/>
    <col width="16" customWidth="1" min="3" max="3"/>
    <col width="70" customWidth="1" min="4" max="4"/>
    <col width="40" customWidth="1" min="5" max="5"/>
  </cols>
  <sheetData>
    <row r="1">
      <c r="A1" s="1" t="inlineStr">
        <is>
          <t>Assumptions</t>
        </is>
      </c>
    </row>
    <row r="2" ht="48" customHeight="1">
      <c r="A2" s="4" t="inlineStr">
        <is>
          <t>Every fixed number the forecast uses. Black values are formulas: measured from the History sheet or worked out from published figures, so you can change the years averaged or a source figure and the whole forecast follows. Blue values are typed from the source named. The settings you are meant to vary are on the Settings sheet; these are the numbers underneath them.</t>
        </is>
      </c>
    </row>
    <row r="4">
      <c r="A4" s="5" t="inlineStr">
        <is>
          <t>Name</t>
        </is>
      </c>
      <c r="B4" s="5" t="inlineStr">
        <is>
          <t>Assumption</t>
        </is>
      </c>
      <c r="C4" s="5" t="inlineStr">
        <is>
          <t>Value used</t>
        </is>
      </c>
      <c r="D4" s="5" t="inlineStr">
        <is>
          <t>How it is worked out</t>
        </is>
      </c>
      <c r="E4" s="5" t="inlineStr">
        <is>
          <t>Source</t>
        </is>
      </c>
    </row>
    <row r="6">
      <c r="A6" s="2" t="inlineStr">
        <is>
          <t>Property tax: the levy limit and new growth</t>
        </is>
      </c>
    </row>
    <row r="7">
      <c r="A7" s="20" t="inlineStr">
        <is>
          <t>K_LevyCap</t>
        </is>
      </c>
      <c r="B7" s="3" t="inlineStr">
        <is>
          <t>Yearly increase allowed on the levy limit</t>
        </is>
      </c>
      <c r="C7" s="46" t="n">
        <v>0.025</v>
      </c>
      <c r="D7" s="3" t="inlineStr">
        <is>
          <t>Proposition 2½: the levy limit rises 2.5% a year, plus new growth and any override.</t>
        </is>
      </c>
      <c r="E7" s="3" t="inlineStr">
        <is>
          <t>Massachusetts General Laws c.59 §21C</t>
        </is>
      </c>
    </row>
    <row r="8">
      <c r="A8" s="20" t="inlineStr">
        <is>
          <t>K_ResTrail</t>
        </is>
      </c>
      <c r="B8" s="3" t="inlineStr">
        <is>
          <t>Residential new growth, share of the prior year's levy limit</t>
        </is>
      </c>
      <c r="C8" s="47">
        <f>ROUND(AVERAGE(History!$S$22:$S$26),5)</f>
        <v/>
      </c>
      <c r="D8" s="3" t="inlineStr">
        <is>
          <t>Average of FY2022 to FY2026 on History, rounded to 0.001 point. Change the years to test another window.</t>
        </is>
      </c>
      <c r="E8" s="3" t="inlineStr">
        <is>
          <t>DLS new growth (History)</t>
        </is>
      </c>
    </row>
    <row r="9">
      <c r="A9" s="20" t="inlineStr">
        <is>
          <t>K_ComTrail</t>
        </is>
      </c>
      <c r="B9" s="3" t="inlineStr">
        <is>
          <t>Commercial, industrial and business equipment new growth, share of the prior levy limit</t>
        </is>
      </c>
      <c r="C9" s="47">
        <f>ROUND(AVERAGE(History!$U$22:$U$26),5)</f>
        <v/>
      </c>
      <c r="D9" s="3" t="inlineStr">
        <is>
          <t>Average of FY2022 to FY2026 on History, rounded the same way.</t>
        </is>
      </c>
      <c r="E9" s="3" t="inlineStr">
        <is>
          <t>DLS new growth (History)</t>
        </is>
      </c>
    </row>
    <row r="10">
      <c r="A10" s="20" t="inlineStr">
        <is>
          <t>K_TrendRate</t>
        </is>
      </c>
      <c r="B10" s="3" t="inlineStr">
        <is>
          <t>Recent new growth rate, all property</t>
        </is>
      </c>
      <c r="C10" s="47">
        <f>K_ResTrail+K_ComTrail</f>
        <v/>
      </c>
      <c r="D10" s="3" t="inlineStr">
        <is>
          <t>The two together. The New growth setting moves the rate up or down from here in tenths of a point.</t>
        </is>
      </c>
      <c r="E10" s="3" t="inlineStr"/>
    </row>
    <row r="11">
      <c r="A11" s="20" t="inlineStr">
        <is>
          <t>K_ResNewShare</t>
        </is>
      </c>
      <c r="B11" s="3" t="inlineStr">
        <is>
          <t>Share of residential new growth from net new homes (the rest is renovation)</t>
        </is>
      </c>
      <c r="C11" s="11">
        <f>ROUND(K_HomesPace*K_ResValUnit*K_ResTax/(K_ResTrail*Levy2025),4)</f>
        <v/>
      </c>
      <c r="D11" s="3" t="inlineStr">
        <is>
          <t>Set so FY2026 carries the recent pace of net new homes at the value each adds. Total residential new growth stays at its trend rate, which has held at 0.8% to 1.0% of the levy whether few or many homes were built; renovation, including houses rebuilt as houses, is the rest.</t>
        </is>
      </c>
      <c r="E11" s="3" t="inlineStr">
        <is>
          <t>Building permits and assessment rolls (new_homes_parameters.py)</t>
        </is>
      </c>
    </row>
    <row r="12">
      <c r="A12" s="20" t="inlineStr">
        <is>
          <t>K_ComNewShare</t>
        </is>
      </c>
      <c r="B12" s="3" t="inlineStr">
        <is>
          <t>Share of commercial new growth from new or converted buildings</t>
        </is>
      </c>
      <c r="C12" s="15">
        <f>ROUND(AVERAGE(History!$G$46:$G$50),4)</f>
        <v/>
      </c>
      <c r="D12" s="3" t="inlineStr">
        <is>
          <t>Average of FY2021 to FY2025, same table. Most commercial new growth is renovation and fit-out.</t>
        </is>
      </c>
      <c r="E12" s="3" t="inlineStr">
        <is>
          <t>Same</t>
        </is>
      </c>
    </row>
    <row r="13">
      <c r="A13" s="20" t="inlineStr">
        <is>
          <t>K_PP</t>
        </is>
      </c>
      <c r="B13" s="3" t="inlineStr">
        <is>
          <t>Business equipment (personal property) new growth, share of the prior levy limit</t>
        </is>
      </c>
      <c r="C13" s="48" t="n">
        <v>0.002407</v>
      </c>
      <c r="D13" s="3" t="inlineStr">
        <is>
          <t>Average of FY2022 to FY2026 on History (=AVERAGE(History!$B$55:$B$59) gives 0.24070%), rounded to 0.2407%. Part of the commercial rate above, not added to it.</t>
        </is>
      </c>
      <c r="E13" s="3" t="inlineStr">
        <is>
          <t>Board of Assessors classification hearings</t>
        </is>
      </c>
    </row>
    <row r="14">
      <c r="A14" s="20" t="inlineStr">
        <is>
          <t>K_ResNewPct</t>
        </is>
      </c>
      <c r="B14" s="3" t="inlineStr">
        <is>
          <t>New growth rate from new homes</t>
        </is>
      </c>
      <c r="C14" s="42">
        <f>K_ResTrail*K_ResNewShare</f>
        <v/>
      </c>
      <c r="D14" s="3" t="inlineStr">
        <is>
          <t>Residential rate times the new-homes share.</t>
        </is>
      </c>
      <c r="E14" s="3" t="inlineStr"/>
    </row>
    <row r="15">
      <c r="A15" s="20" t="inlineStr">
        <is>
          <t>K_ResRenoPct</t>
        </is>
      </c>
      <c r="B15" s="3" t="inlineStr">
        <is>
          <t>New growth rate from home renovation</t>
        </is>
      </c>
      <c r="C15" s="42">
        <f>K_ResTrail*(1-K_ResNewShare)</f>
        <v/>
      </c>
      <c r="D15" s="3" t="inlineStr">
        <is>
          <t>Residential rate times the rest.</t>
        </is>
      </c>
      <c r="E15" s="3" t="inlineStr"/>
    </row>
    <row r="16">
      <c r="A16" s="20" t="inlineStr">
        <is>
          <t>K_ComNewPct</t>
        </is>
      </c>
      <c r="B16" s="3" t="inlineStr">
        <is>
          <t>New growth rate from new commercial space</t>
        </is>
      </c>
      <c r="C16" s="42">
        <f>K_ComTrail*K_ComNewShare</f>
        <v/>
      </c>
      <c r="D16" s="3" t="inlineStr">
        <is>
          <t>Commercial rate times the new-buildings share.</t>
        </is>
      </c>
      <c r="E16" s="3" t="inlineStr"/>
    </row>
    <row r="17">
      <c r="A17" s="20" t="inlineStr">
        <is>
          <t>K_ComRenoPct</t>
        </is>
      </c>
      <c r="B17" s="3" t="inlineStr">
        <is>
          <t>New growth rate from commercial renovation</t>
        </is>
      </c>
      <c r="C17" s="42">
        <f>K_ComTrail-K_ComNewPct-K_PP</f>
        <v/>
      </c>
      <c r="D17" s="3" t="inlineStr">
        <is>
          <t>What is left of the commercial rate after new buildings and equipment.</t>
        </is>
      </c>
      <c r="E17" s="3" t="inlineStr"/>
    </row>
    <row r="18">
      <c r="A18" s="20" t="inlineStr">
        <is>
          <t>K_TownNG</t>
        </is>
      </c>
      <c r="B18" s="3" t="inlineStr">
        <is>
          <t>New growth in the Town's own plan, each year</t>
        </is>
      </c>
      <c r="C18" s="49" t="n">
        <v>2500000</v>
      </c>
      <c r="D18" s="3" t="inlineStr">
        <is>
          <t>The Town's long-range plan assumes a flat $2.5M. For FY2026 to FY2031 the forecast starts from the Town's own property tax figures and adds only the difference its new growth makes; see Revenue build.</t>
        </is>
      </c>
      <c r="E18" s="3" t="inlineStr">
        <is>
          <t>Town long-range plan, Jan 2026</t>
        </is>
      </c>
    </row>
    <row r="19">
      <c r="A19" s="20" t="inlineStr">
        <is>
          <t>K_Perm27</t>
        </is>
      </c>
      <c r="B19" s="3" t="inlineStr">
        <is>
          <t>FY2027 real estate new growth tax the 2024 permits point to, middle of past rates</t>
        </is>
      </c>
      <c r="C19" s="49" t="n">
        <v>1946151</v>
      </c>
      <c r="D19" s="3" t="inlineStr">
        <is>
          <t>Taxable permits times the middle of past ratios of new growth to permits, at the FY2026 tax rate.</t>
        </is>
      </c>
      <c r="E19" s="3" t="inlineStr">
        <is>
          <t>Town permit records; DLS new growth (permit_leading_indicator.py)</t>
        </is>
      </c>
    </row>
    <row r="20">
      <c r="A20" s="20" t="inlineStr">
        <is>
          <t>K_Perm27Lo</t>
        </is>
      </c>
      <c r="B20" s="3" t="inlineStr">
        <is>
          <t>The same, low end of past rates</t>
        </is>
      </c>
      <c r="C20" s="49" t="n">
        <v>1783406</v>
      </c>
      <c r="D20" s="3" t="inlineStr"/>
      <c r="E20" s="3" t="inlineStr">
        <is>
          <t>Same</t>
        </is>
      </c>
    </row>
    <row r="21">
      <c r="A21" s="20" t="inlineStr">
        <is>
          <t>K_Perm27Hi</t>
        </is>
      </c>
      <c r="B21" s="3" t="inlineStr">
        <is>
          <t>The same, high end of past rates</t>
        </is>
      </c>
      <c r="C21" s="49" t="n">
        <v>2454037</v>
      </c>
      <c r="D21" s="3" t="inlineStr"/>
      <c r="E21" s="3" t="inlineStr">
        <is>
          <t>Same</t>
        </is>
      </c>
    </row>
    <row r="22">
      <c r="A22" s="20" t="inlineStr">
        <is>
          <t>K_Perm28</t>
        </is>
      </c>
      <c r="B22" s="3" t="inlineStr">
        <is>
          <t>FY2028 real estate new growth tax the 2025 permits point to, middle of past rates</t>
        </is>
      </c>
      <c r="C22" s="49" t="n">
        <v>2037866</v>
      </c>
      <c r="D22" s="3" t="inlineStr">
        <is>
          <t>As above. FY2028 is taxed at the FY2027 rate, a little higher after the override, so this runs about 3% low.</t>
        </is>
      </c>
      <c r="E22" s="3" t="inlineStr">
        <is>
          <t>Same</t>
        </is>
      </c>
    </row>
    <row r="23">
      <c r="A23" s="20" t="inlineStr">
        <is>
          <t>K_Perm28Lo</t>
        </is>
      </c>
      <c r="B23" s="3" t="inlineStr">
        <is>
          <t>The same, low end of past rates</t>
        </is>
      </c>
      <c r="C23" s="49" t="n">
        <v>1867452</v>
      </c>
      <c r="D23" s="3" t="inlineStr"/>
      <c r="E23" s="3" t="inlineStr">
        <is>
          <t>Same</t>
        </is>
      </c>
    </row>
    <row r="24">
      <c r="A24" s="20" t="inlineStr">
        <is>
          <t>K_Perm28Hi</t>
        </is>
      </c>
      <c r="B24" s="3" t="inlineStr">
        <is>
          <t>The same, high end of past rates</t>
        </is>
      </c>
      <c r="C24" s="49" t="n">
        <v>2569687</v>
      </c>
      <c r="D24" s="3" t="inlineStr"/>
      <c r="E24" s="3" t="inlineStr">
        <is>
          <t>Same</t>
        </is>
      </c>
    </row>
    <row r="25">
      <c r="A25" s="20" t="inlineStr">
        <is>
          <t>K_NG2026</t>
        </is>
      </c>
      <c r="B25" s="3" t="inlineStr">
        <is>
          <t>New growth in FY2026, as certified</t>
        </is>
      </c>
      <c r="C25" s="17">
        <f>History!$D$26</f>
        <v/>
      </c>
      <c r="D25" s="3" t="inlineStr">
        <is>
          <t>FY2026 is past, so every run uses the certified figure; the rates above apply from FY2027.</t>
        </is>
      </c>
      <c r="E25" s="3" t="inlineStr">
        <is>
          <t>DLS new growth (History)</t>
        </is>
      </c>
    </row>
    <row r="26">
      <c r="A26" s="20" t="inlineStr">
        <is>
          <t>Levy2025</t>
        </is>
      </c>
      <c r="B26" s="3" t="inlineStr">
        <is>
          <t>FY2025 levy, debt exclusions set aside</t>
        </is>
      </c>
      <c r="C26" s="17">
        <f>History!$G$25-History!$F$25</f>
        <v/>
      </c>
      <c r="D26" s="3" t="inlineStr">
        <is>
          <t>Total levy raised less debt exclusion tax. New growth in FY2026 is measured against it.</t>
        </is>
      </c>
      <c r="E26" s="3" t="inlineStr">
        <is>
          <t>History</t>
        </is>
      </c>
    </row>
    <row r="28">
      <c r="A28" s="2" t="inlineStr">
        <is>
          <t>Turning new growth dollars into homes and commercial space</t>
        </is>
      </c>
    </row>
    <row r="29">
      <c r="A29" s="20" t="inlineStr">
        <is>
          <t>K_HomesPace</t>
        </is>
      </c>
      <c r="B29" s="3" t="inlineStr">
        <is>
          <t>Net new homes a year, building permits issued 2016 to 2025</t>
        </is>
      </c>
      <c r="C29" s="50" t="n">
        <v>104.7</v>
      </c>
      <c r="D29" s="3" t="inlineStr">
        <is>
          <t>Every permit read and coded by hand, net of demolitions, assisted living counted separately.</t>
        </is>
      </c>
      <c r="E29" s="3" t="inlineStr">
        <is>
          <t>Town building permits (output/permit_homes_by_year.csv)</t>
        </is>
      </c>
    </row>
    <row r="30">
      <c r="A30" s="20" t="inlineStr">
        <is>
          <t>K_ResValUnit</t>
        </is>
      </c>
      <c r="B30" s="3" t="inlineStr">
        <is>
          <t>Assessed value added by one net new home, FY2026</t>
        </is>
      </c>
      <c r="C30" s="49" t="n">
        <v>585000</v>
      </c>
      <c r="D30" s="3" t="inlineStr">
        <is>
          <t>The forecast adds apartments and condominiums, in their 2016 to 2025 proportions (about 80 to 20): apartments add about $521,000 of assessed value per net home and small multifamily and condominium buildings about $864,000, measured on the new-growth basis.</t>
        </is>
      </c>
      <c r="E30" s="3" t="inlineStr">
        <is>
          <t>Building permits followed onto the assessment rolls, FY2016 to FY2026</t>
        </is>
      </c>
    </row>
    <row r="31">
      <c r="A31" s="20" t="inlineStr">
        <is>
          <t>K_ResApp</t>
        </is>
      </c>
      <c r="B31" s="3" t="inlineStr">
        <is>
          <t>Yearly rise in the value of a new home</t>
        </is>
      </c>
      <c r="C31" s="51" t="n">
        <v>0.0496</v>
      </c>
      <c r="D31" s="3" t="inlineStr">
        <is>
          <t>Town-wide residential value growth net of new growth, FY2018 to FY2024 average.</t>
        </is>
      </c>
      <c r="E31" s="3" t="inlineStr">
        <is>
          <t>Assessment rolls</t>
        </is>
      </c>
    </row>
    <row r="32">
      <c r="A32" s="20" t="inlineStr">
        <is>
          <t>K_ComValSqft</t>
        </is>
      </c>
      <c r="B32" s="3" t="inlineStr">
        <is>
          <t>Assessed value per square foot of new commercial space, FY2026</t>
        </is>
      </c>
      <c r="C32" s="49" t="n">
        <v>518</v>
      </c>
      <c r="D32" s="3" t="inlineStr">
        <is>
          <t>Taxable commercial value divided by commercial floor area, weighted (median $529).</t>
        </is>
      </c>
      <c r="E32" s="3" t="inlineStr">
        <is>
          <t>Assessment rolls</t>
        </is>
      </c>
    </row>
    <row r="33">
      <c r="A33" s="20" t="inlineStr">
        <is>
          <t>K_ComApp</t>
        </is>
      </c>
      <c r="B33" s="3" t="inlineStr">
        <is>
          <t>Yearly rise in commercial value per square foot</t>
        </is>
      </c>
      <c r="C33" s="51" t="n">
        <v>0.0128</v>
      </c>
      <c r="D33" s="3" t="inlineStr">
        <is>
          <t>Town-wide commercial value growth net of new growth, FY2018 to FY2024; volatile in 2020 to 2023.</t>
        </is>
      </c>
      <c r="E33" s="3" t="inlineStr">
        <is>
          <t>Assessment rolls</t>
        </is>
      </c>
    </row>
    <row r="34">
      <c r="A34" s="20" t="inlineStr">
        <is>
          <t>K_ResTax</t>
        </is>
      </c>
      <c r="B34" s="3" t="inlineStr">
        <is>
          <t>Residential tax rate, FY2026 (per dollar of value)</t>
        </is>
      </c>
      <c r="C34" s="48" t="n">
        <v>0.009835999999999999</v>
      </c>
      <c r="D34" s="3" t="inlineStr">
        <is>
          <t>$9.836 per $1,000.</t>
        </is>
      </c>
      <c r="E34" s="3" t="inlineStr">
        <is>
          <t>Board of Assessors, FY2026 classification</t>
        </is>
      </c>
    </row>
    <row r="35">
      <c r="A35" s="20" t="inlineStr">
        <is>
          <t>K_ComTax</t>
        </is>
      </c>
      <c r="B35" s="3" t="inlineStr">
        <is>
          <t>Commercial tax rate, FY2026 (per dollar of value)</t>
        </is>
      </c>
      <c r="C35" s="48" t="n">
        <v>0.016238</v>
      </c>
      <c r="D35" s="3" t="inlineStr">
        <is>
          <t>$16.238 per $1,000.</t>
        </is>
      </c>
      <c r="E35" s="3" t="inlineStr">
        <is>
          <t>Board of Assessors, FY2026 classification</t>
        </is>
      </c>
    </row>
    <row r="36">
      <c r="A36" s="20" t="inlineStr">
        <is>
          <t>K_ResValShare</t>
        </is>
      </c>
      <c r="B36" s="3" t="inlineStr">
        <is>
          <t>Residential share of taxable value, FY2026</t>
        </is>
      </c>
      <c r="C36" s="11">
        <f>30758464684/33832309213</f>
        <v/>
      </c>
      <c r="D36" s="3" t="inlineStr">
        <is>
          <t>Residential value over all taxable value.</t>
        </is>
      </c>
      <c r="E36" s="3" t="inlineStr">
        <is>
          <t>Board of Assessors, FY2026 classification</t>
        </is>
      </c>
    </row>
    <row r="37">
      <c r="A37" s="20" t="inlineStr">
        <is>
          <t>K_LevyGrowth</t>
        </is>
      </c>
      <c r="B37" s="3" t="inlineStr">
        <is>
          <t>Yearly levy growth at the recent pace</t>
        </is>
      </c>
      <c r="C37" s="15">
        <f>K_LevyCap+K_ResTrail+K_ComTrail</f>
        <v/>
      </c>
      <c r="D37" s="3" t="inlineStr">
        <is>
          <t>2.5% plus recent new growth.</t>
        </is>
      </c>
      <c r="E37" s="3" t="inlineStr"/>
    </row>
    <row r="38">
      <c r="A38" s="20" t="inlineStr">
        <is>
          <t>K_BlendApp</t>
        </is>
      </c>
      <c r="B38" s="3" t="inlineStr">
        <is>
          <t>Yearly rise in taxable value, all property</t>
        </is>
      </c>
      <c r="C38" s="15">
        <f>K_ResValShare*K_ResApp+(1-K_ResValShare)*K_ComApp</f>
        <v/>
      </c>
      <c r="D38" s="3" t="inlineStr">
        <is>
          <t>The two value growth rates weighted by value. Tax rates drift by the levy's growth over this.</t>
        </is>
      </c>
      <c r="E38" s="3" t="inlineStr"/>
    </row>
    <row r="40">
      <c r="A40" s="2" t="inlineStr">
        <is>
          <t>Local receipts and state aid</t>
        </is>
      </c>
    </row>
    <row r="41">
      <c r="A41" s="20" t="inlineStr">
        <is>
          <t>K_PermitRate26</t>
        </is>
      </c>
      <c r="B41" s="3" t="inlineStr">
        <is>
          <t>Building permit fee, through FY2026 (share of construction cost)</t>
        </is>
      </c>
      <c r="C41" s="46" t="n">
        <v>0.02</v>
      </c>
      <c r="D41" s="3" t="inlineStr">
        <is>
          <t>$20 per $1,000 of estimated cost.</t>
        </is>
      </c>
      <c r="E41" s="3" t="inlineStr">
        <is>
          <t>Town fee schedule, 2022</t>
        </is>
      </c>
    </row>
    <row r="42">
      <c r="A42" s="20" t="inlineStr">
        <is>
          <t>K_PermitRate27</t>
        </is>
      </c>
      <c r="B42" s="3" t="inlineStr">
        <is>
          <t>Building permit fee, from FY2027</t>
        </is>
      </c>
      <c r="C42" s="46" t="n">
        <v>0.021</v>
      </c>
      <c r="D42" s="3" t="inlineStr">
        <is>
          <t>$21 per $1,000, effective July 1, 2026.</t>
        </is>
      </c>
      <c r="E42" s="3" t="inlineStr">
        <is>
          <t>Town fee schedule, 2026</t>
        </is>
      </c>
    </row>
    <row r="43">
      <c r="A43" s="20" t="inlineStr">
        <is>
          <t>K_Permits2025</t>
        </is>
      </c>
      <c r="B43" s="3" t="inlineStr">
        <is>
          <t>Building permit revenue, FY2025</t>
        </is>
      </c>
      <c r="C43" s="49" t="n">
        <v>4439224</v>
      </c>
      <c r="D43" s="3" t="inlineStr"/>
      <c r="E43" s="3" t="inlineStr">
        <is>
          <t>DLS local receipts, FY2025</t>
        </is>
      </c>
    </row>
    <row r="44">
      <c r="A44" s="20" t="inlineStr">
        <is>
          <t>K_Inv2019</t>
        </is>
      </c>
      <c r="B44" s="3" t="inlineStr">
        <is>
          <t>Investment income, FY2019</t>
        </is>
      </c>
      <c r="C44" s="49" t="n">
        <v>1317178</v>
      </c>
      <c r="D44" s="3" t="inlineStr"/>
      <c r="E44" s="3" t="inlineStr">
        <is>
          <t>DLS local receipts</t>
        </is>
      </c>
    </row>
    <row r="45">
      <c r="A45" s="20" t="inlineStr">
        <is>
          <t>K_Inv2025</t>
        </is>
      </c>
      <c r="B45" s="3" t="inlineStr">
        <is>
          <t>Investment income, FY2025</t>
        </is>
      </c>
      <c r="C45" s="49" t="n">
        <v>5146469</v>
      </c>
      <c r="D45" s="3" t="inlineStr">
        <is>
          <t>Raised by high interest rates on Town cash, including unspent federal pandemic aid. Set aside from the growth rate.</t>
        </is>
      </c>
      <c r="E45" s="3" t="inlineStr">
        <is>
          <t>DLS local receipts</t>
        </is>
      </c>
    </row>
    <row r="46">
      <c r="A46" s="20" t="inlineStr">
        <is>
          <t>K_InvEst2025</t>
        </is>
      </c>
      <c r="B46" s="3" t="inlineStr">
        <is>
          <t>Investment income budgeted, FY2025</t>
        </is>
      </c>
      <c r="C46" s="49" t="n">
        <v>790593</v>
      </c>
      <c r="D46" s="3" t="inlineStr"/>
      <c r="E46" s="3" t="inlineStr">
        <is>
          <t>DLS local receipts</t>
        </is>
      </c>
    </row>
    <row r="47">
      <c r="A47" s="20" t="inlineStr">
        <is>
          <t>K_InvFlat</t>
        </is>
      </c>
      <c r="B47" s="3" t="inlineStr">
        <is>
          <t>Investment income, each forecast year</t>
        </is>
      </c>
      <c r="C47" s="49" t="n">
        <v>934259</v>
      </c>
      <c r="D47" s="3" t="inlineStr">
        <is>
          <t>Held flat at the Town's FY2027 budget for investment income. It is part of the growth-linked receipts row on the Growth sheet.</t>
        </is>
      </c>
      <c r="E47" s="3" t="inlineStr">
        <is>
          <t>FY2027 Financial Plan, p. III-98</t>
        </is>
      </c>
    </row>
    <row r="48">
      <c r="A48" s="20" t="inlineStr">
        <is>
          <t>K_Meals2019</t>
        </is>
      </c>
      <c r="B48" s="3" t="inlineStr">
        <is>
          <t>Meals tax, FY2019</t>
        </is>
      </c>
      <c r="C48" s="49" t="n">
        <v>1249434</v>
      </c>
      <c r="D48" s="3" t="inlineStr"/>
      <c r="E48" s="3" t="inlineStr">
        <is>
          <t>DLS local receipts</t>
        </is>
      </c>
    </row>
    <row r="49">
      <c r="A49" s="20" t="inlineStr">
        <is>
          <t>K_Meals2025</t>
        </is>
      </c>
      <c r="B49" s="3" t="inlineStr">
        <is>
          <t>Meals tax, FY2025</t>
        </is>
      </c>
      <c r="C49" s="49" t="n">
        <v>1768323</v>
      </c>
      <c r="D49" s="3" t="inlineStr"/>
      <c r="E49" s="3" t="inlineStr">
        <is>
          <t>DLS local receipts</t>
        </is>
      </c>
    </row>
    <row r="50">
      <c r="A50" s="20" t="inlineStr">
        <is>
          <t>K_MealsGrowth</t>
        </is>
      </c>
      <c r="B50" s="3" t="inlineStr">
        <is>
          <t>Yearly growth of meals tax at existing restaurants</t>
        </is>
      </c>
      <c r="C50" s="15">
        <f>ROUND((K_Meals2025/K_Meals2019)^(1/6)-1,4)</f>
        <v/>
      </c>
      <c r="D50" s="3" t="inlineStr">
        <is>
          <t>FY2019 to FY2025 compound growth, rounded to 0.01 point.</t>
        </is>
      </c>
      <c r="E50" s="3" t="inlineStr"/>
    </row>
    <row r="51">
      <c r="A51" s="20" t="inlineStr">
        <is>
          <t>K_MealsPerSqft</t>
        </is>
      </c>
      <c r="B51" s="3" t="inlineStr">
        <is>
          <t>Meals tax per square foot of commercial space</t>
        </is>
      </c>
      <c r="C51" s="52">
        <f>ROUND(K_Meals2025/6364845,4)</f>
        <v/>
      </c>
      <c r="D51" s="3" t="inlineStr">
        <is>
          <t>FY2025 meals tax over 6,364,845 square feet of taxable commercial space. New commercial space is assumed to bring meals tax at the average rate.</t>
        </is>
      </c>
      <c r="E51" s="3" t="inlineStr">
        <is>
          <t>Assessment rolls</t>
        </is>
      </c>
    </row>
    <row r="52">
      <c r="A52" s="20" t="inlineStr">
        <is>
          <t>R_LRresid2025</t>
        </is>
      </c>
      <c r="B52" s="3" t="inlineStr">
        <is>
          <t>Local receipts not tied to growth, FY2025</t>
        </is>
      </c>
      <c r="C52" s="17">
        <f>History!$K$25-K_Meals2025-K_Permits2025-K_Inv2025</f>
        <v/>
      </c>
      <c r="D52" s="3" t="inlineStr">
        <is>
          <t>Actual local receipts less meals tax, building permits and investment income, which are forecast separately.</t>
        </is>
      </c>
      <c r="E52" s="3" t="inlineStr">
        <is>
          <t>History</t>
        </is>
      </c>
    </row>
    <row r="53">
      <c r="A53" s="20" t="inlineStr">
        <is>
          <t>R_LRbase</t>
        </is>
      </c>
      <c r="B53" s="3" t="inlineStr">
        <is>
          <t>Base case growth of those receipts</t>
        </is>
      </c>
      <c r="C53" s="15">
        <f>((History!$K$25-K_Meals2025-K_Inv2025)/(History!$K$19-K_Meals2019-K_Inv2019))^(1/6)-1</f>
        <v/>
      </c>
      <c r="D53" s="3" t="inlineStr">
        <is>
          <t>FY2019 to FY2025 compound growth, meals tax and investment income set aside. The Local receipts setting starts here.</t>
        </is>
      </c>
      <c r="E53" s="3" t="inlineStr">
        <is>
          <t>History</t>
        </is>
      </c>
    </row>
    <row r="54">
      <c r="A54" s="20" t="inlineStr">
        <is>
          <t>R_SA2026</t>
        </is>
      </c>
      <c r="B54" s="3" t="inlineStr">
        <is>
          <t>State aid, FY2026</t>
        </is>
      </c>
      <c r="C54" s="49" t="n">
        <v>25915570</v>
      </c>
      <c r="D54" s="3" t="inlineStr">
        <is>
          <t>The Town's FY2026 figure.</t>
        </is>
      </c>
      <c r="E54" s="3" t="inlineStr">
        <is>
          <t>Town long-range plan</t>
        </is>
      </c>
    </row>
    <row r="55">
      <c r="A55" s="20" t="inlineStr">
        <is>
          <t>R_SA2027</t>
        </is>
      </c>
      <c r="B55" s="3" t="inlineStr">
        <is>
          <t>State aid, FY2027</t>
        </is>
      </c>
      <c r="C55" s="49" t="n">
        <v>26693757</v>
      </c>
      <c r="D55" s="3" t="inlineStr">
        <is>
          <t>The adopted FY2027 budget.</t>
        </is>
      </c>
      <c r="E55" s="3" t="inlineStr">
        <is>
          <t>FY2027 adopted budget</t>
        </is>
      </c>
    </row>
    <row r="56">
      <c r="A56" s="20" t="inlineStr">
        <is>
          <t>R_SAbase</t>
        </is>
      </c>
      <c r="B56" s="3" t="inlineStr">
        <is>
          <t>Base case state aid growth</t>
        </is>
      </c>
      <c r="C56" s="51" t="n">
        <v>0.025</v>
      </c>
      <c r="D56" s="3" t="inlineStr">
        <is>
          <t>The rate in the Town's own long-range plan, chosen to be conservative. FY2015 to FY2025 was 3.5%, including FY2019's one-year 8.6% rise; FY2019 to FY2025 was 2.0%. The State aid setting starts here.</t>
        </is>
      </c>
      <c r="E56" s="3" t="inlineStr">
        <is>
          <t>Town long-range plan</t>
        </is>
      </c>
    </row>
    <row r="58">
      <c r="A58" s="2" t="inlineStr">
        <is>
          <t>The free cash cycle</t>
        </is>
      </c>
    </row>
    <row r="59">
      <c r="A59" s="20" t="inlineStr">
        <is>
          <t>R_BudgetRatio</t>
        </is>
      </c>
      <c r="B59" s="3" t="inlineStr">
        <is>
          <t>Local receipts budgeted, as a share of what is collected</t>
        </is>
      </c>
      <c r="C59" s="11">
        <f>(History!$J$25-K_InvEst2025+K_InvFlat)/(History!$K$25-K_Inv2025+K_InvFlat)</f>
        <v/>
      </c>
      <c r="D59" s="3" t="inlineStr">
        <is>
          <t>FY2025 budget estimate over actual, with investment income at its flat forecast level on both sides. The Town budgets receipts below what it expects to collect.</t>
        </is>
      </c>
      <c r="E59" s="3" t="inlineStr">
        <is>
          <t>History</t>
        </is>
      </c>
    </row>
    <row r="60">
      <c r="A60" s="20" t="inlineStr">
        <is>
          <t>R_OtherSurplus</t>
        </is>
      </c>
      <c r="B60" s="3" t="inlineStr">
        <is>
          <t>Other year-end surplus, share of revenue</t>
        </is>
      </c>
      <c r="C60" s="15">
        <f>AVERAGE(History!$V$22:$V$25)</f>
        <v/>
      </c>
      <c r="D60" s="3" t="inlineStr">
        <is>
          <t>Surplus beyond receipts beating budget (unspent appropriations and the like), FY2022 to FY2025 average. Measured on the state's total revenues (actual receipts, no free cash), and applied to the same.</t>
        </is>
      </c>
      <c r="E60" s="3" t="inlineStr">
        <is>
          <t>History</t>
        </is>
      </c>
    </row>
    <row r="61">
      <c r="A61" s="20" t="inlineStr">
        <is>
          <t>R_ApprShare</t>
        </is>
      </c>
      <c r="B61" s="3" t="inlineStr">
        <is>
          <t>Share of free cash the Town appropriates</t>
        </is>
      </c>
      <c r="C61" s="11">
        <f>AVERAGE(Data!$C$37/History!$L$24,18280805/History!$L$25)</f>
        <v/>
      </c>
      <c r="D61" s="3" t="inlineStr">
        <is>
          <t>Free cash used in the FY2026 budget and the adopted FY2027 budget over the surplus two years earlier; the rest stays in reserves.</t>
        </is>
      </c>
      <c r="E61" s="3" t="inlineStr">
        <is>
          <t>Town plan; FY2027 adopted budget; History</t>
        </is>
      </c>
    </row>
    <row r="63">
      <c r="A63" s="2" t="inlineStr">
        <is>
          <t>Chestnut Hill redevelopment</t>
        </is>
      </c>
    </row>
    <row r="64">
      <c r="A64" s="20" t="inlineStr">
        <is>
          <t>K_ChcaStart</t>
        </is>
      </c>
      <c r="B64" s="3" t="inlineStr">
        <is>
          <t>First fiscal year with Chestnut Hill on the tax roll</t>
        </is>
      </c>
      <c r="C64" s="53" t="n">
        <v>2032</v>
      </c>
      <c r="D64" s="3" t="inlineStr"/>
      <c r="E64" s="3" t="inlineStr">
        <is>
          <t>Forecast assumption</t>
        </is>
      </c>
    </row>
    <row r="65">
      <c r="A65" s="20" t="inlineStr">
        <is>
          <t>K_ChcaSpan</t>
        </is>
      </c>
      <c r="B65" s="3" t="inlineStr">
        <is>
          <t>Years to build out</t>
        </is>
      </c>
      <c r="C65" s="53" t="n">
        <v>3</v>
      </c>
      <c r="D65" s="3" t="inlineStr">
        <is>
          <t>A third of the project each year from the first.</t>
        </is>
      </c>
      <c r="E65" s="3" t="inlineStr"/>
    </row>
    <row r="66">
      <c r="A66" s="20" t="inlineStr">
        <is>
          <t>K_ChcaDollarYr</t>
        </is>
      </c>
      <c r="B66" s="3" t="inlineStr">
        <is>
          <t>Dollar year of the revenue estimates</t>
        </is>
      </c>
      <c r="C66" s="53" t="n">
        <v>2025</v>
      </c>
      <c r="D66" s="3" t="inlineStr">
        <is>
          <t>RKG built the model on the FY2025 budget. Each third's property tax enters at its entry year's value (value growth times tax-rate drift, by class), then grows with the levy; rooms tax and excise grow at the base rate of the other local receipts.</t>
        </is>
      </c>
      <c r="E66" s="3" t="inlineStr">
        <is>
          <t>ERSC report, Appendix E</t>
        </is>
      </c>
    </row>
    <row r="67">
      <c r="A67" s="20" t="inlineStr">
        <is>
          <t>K_ChcaUnits</t>
        </is>
      </c>
      <c r="B67" s="3" t="inlineStr">
        <is>
          <t>Homes</t>
        </is>
      </c>
      <c r="C67" s="54" t="n">
        <v>266</v>
      </c>
      <c r="D67" s="3" t="inlineStr"/>
      <c r="E67" s="3" t="inlineStr">
        <is>
          <t>Town Meeting approval, May 2026</t>
        </is>
      </c>
    </row>
    <row r="68">
      <c r="A68" s="20" t="inlineStr">
        <is>
          <t>K_ChcaSPU</t>
        </is>
      </c>
      <c r="B68" s="3" t="inlineStr">
        <is>
          <t>School-age children per home</t>
        </is>
      </c>
      <c r="C68" s="55" t="n">
        <v>0.126</v>
      </c>
      <c r="D68" s="3" t="inlineStr">
        <is>
          <t>High-rise, mostly studios and one-bedrooms.</t>
        </is>
      </c>
      <c r="E68" s="3" t="inlineStr">
        <is>
          <t>Fiscal impact estimate for a comparable high-rise</t>
        </is>
      </c>
    </row>
    <row r="69">
      <c r="A69" s="20" t="inlineStr">
        <is>
          <t>K_ChcaEmp</t>
        </is>
      </c>
      <c r="B69" s="3" t="inlineStr">
        <is>
          <t>Employees</t>
        </is>
      </c>
      <c r="C69" s="33">
        <f>(79000+105000)/200+200*500/2300</f>
        <v/>
      </c>
      <c r="D69" s="3" t="inlineStr">
        <is>
          <t>184,000 square feet of office and retail at one employee per 200, plus a 200-room hotel.</t>
        </is>
      </c>
      <c r="E69" s="3" t="inlineStr">
        <is>
          <t>City Realty scenario 1</t>
        </is>
      </c>
    </row>
    <row r="71">
      <c r="A71" s="2" t="inlineStr">
        <is>
          <t>Town services</t>
        </is>
      </c>
    </row>
    <row r="72">
      <c r="A72" s="20" t="inlineStr">
        <is>
          <t>K_pD</t>
        </is>
      </c>
      <c r="B72" s="3" t="inlineStr">
        <is>
          <t>Town departments: share of spending that is pay</t>
        </is>
      </c>
      <c r="C72" s="11">
        <f>History!$E$37/History!$C$37</f>
        <v/>
      </c>
      <c r="D72" s="3" t="inlineStr">
        <is>
          <t>The pay table on History.</t>
        </is>
      </c>
      <c r="E72" s="3" t="inlineStr">
        <is>
          <t>History; FY2019 Financial Plan</t>
        </is>
      </c>
    </row>
    <row r="73">
      <c r="A73" s="20" t="inlineStr">
        <is>
          <t>K_psD</t>
        </is>
      </c>
      <c r="B73" s="3" t="inlineStr">
        <is>
          <t>Town pay: Public Safety share</t>
        </is>
      </c>
      <c r="C73" s="11">
        <f>History!$E$33/History!$E$37</f>
        <v/>
      </c>
      <c r="D73" s="3" t="inlineStr">
        <is>
          <t>Public Safety's pay over all departments' pay, same table.</t>
        </is>
      </c>
      <c r="E73" s="3" t="inlineStr"/>
    </row>
    <row r="74">
      <c r="A74" s="20" t="inlineStr">
        <is>
          <t>K_TownFTE</t>
        </is>
      </c>
      <c r="B74" s="3" t="inlineStr">
        <is>
          <t>Town staff, full-time equivalents, FY2027</t>
        </is>
      </c>
      <c r="C74" s="56" t="n">
        <v>707.47</v>
      </c>
      <c r="D74" s="3" t="inlineStr"/>
      <c r="E74" s="3" t="inlineStr">
        <is>
          <t>FY2027 Financial Plan</t>
        </is>
      </c>
    </row>
    <row r="75">
      <c r="A75" s="20" t="inlineStr">
        <is>
          <t>K_BasePay</t>
        </is>
      </c>
      <c r="B75" s="3" t="inlineStr">
        <is>
          <t>Town pay target</t>
        </is>
      </c>
      <c r="C75" s="46" t="n">
        <v>0.03</v>
      </c>
      <c r="D75" s="3" t="inlineStr">
        <is>
          <t>The Pay setting moves every group from here.</t>
        </is>
      </c>
      <c r="E75" s="3" t="inlineStr">
        <is>
          <t>Town bargaining target</t>
        </is>
      </c>
    </row>
    <row r="76">
      <c r="A76" s="20" t="inlineStr">
        <is>
          <t>K_BenLoad</t>
        </is>
      </c>
      <c r="B76" s="3" t="inlineStr">
        <is>
          <t>Benefits per dollar of added Town department cost</t>
        </is>
      </c>
      <c r="C76" s="57">
        <f>262/1109</f>
        <v/>
      </c>
      <c r="D76" s="3" t="inlineStr">
        <is>
          <t>RKG's benefits per home over its department cost per home.</t>
        </is>
      </c>
      <c r="E76" s="3" t="inlineStr">
        <is>
          <t>RKG fiscal impact study, FY2025</t>
        </is>
      </c>
    </row>
    <row r="77">
      <c r="A77" s="20" t="inlineStr">
        <is>
          <t>K_CostPerEmp</t>
        </is>
      </c>
      <c r="B77" s="3" t="inlineStr">
        <is>
          <t>Town cost per added commercial employee (FY2025 $)</t>
        </is>
      </c>
      <c r="C77" s="58">
        <f>219*1109/1371</f>
        <v/>
      </c>
      <c r="D77" s="3" t="inlineStr">
        <is>
          <t>RKG's $219 per employee, department share only.</t>
        </is>
      </c>
      <c r="E77" s="3" t="inlineStr">
        <is>
          <t>RKG fiscal impact study, FY2025</t>
        </is>
      </c>
    </row>
    <row r="78">
      <c r="A78" s="20" t="inlineStr">
        <is>
          <t>K_SqftPerEmp</t>
        </is>
      </c>
      <c r="B78" s="3" t="inlineStr">
        <is>
          <t>Commercial square feet per employee</t>
        </is>
      </c>
      <c r="C78" s="54" t="n">
        <v>200</v>
      </c>
      <c r="D78" s="3" t="inlineStr"/>
      <c r="E78" s="3" t="inlineStr">
        <is>
          <t>RKG fiscal impact study</t>
        </is>
      </c>
    </row>
    <row r="79">
      <c r="A79" s="20" t="inlineStr">
        <is>
          <t>K_Permit</t>
        </is>
      </c>
      <c r="B79" s="3" t="inlineStr">
        <is>
          <t>Planning and permitting staff, FY2027</t>
        </is>
      </c>
      <c r="C79" s="17">
        <f>1384996+892085+316790</f>
        <v/>
      </c>
      <c r="D79" s="3" t="inlineStr">
        <is>
          <t>Planning and Community Development, Building Code Enforcement and Building Administration. Grows with real-estate new growth above the trend.</t>
        </is>
      </c>
      <c r="E79" s="3" t="inlineStr">
        <is>
          <t>FY2027 Financial Plan</t>
        </is>
      </c>
    </row>
    <row r="80">
      <c r="A80" s="20" t="inlineStr">
        <is>
          <t>K_CIP</t>
        </is>
      </c>
      <c r="B80" s="3" t="inlineStr">
        <is>
          <t>Capital policy: share of the prior year's net revenue</t>
        </is>
      </c>
      <c r="C80" s="46" t="n">
        <v>0.066</v>
      </c>
      <c r="D80" s="3" t="inlineStr">
        <is>
          <t>4.5% for debt and 2.1% cash. Held at 6% for FY2026 and FY2027 only.</t>
        </is>
      </c>
      <c r="E80" s="3" t="inlineStr">
        <is>
          <t>Select Board policy; FY2027 Financial Plan pp.352, 363, 459</t>
        </is>
      </c>
    </row>
    <row r="81">
      <c r="A81" s="20" t="inlineStr">
        <is>
          <t>K_NonApp</t>
        </is>
      </c>
      <c r="B81" s="3" t="inlineStr">
        <is>
          <t>Non-appropriated items left out of the policy's net revenue, FY2027</t>
        </is>
      </c>
      <c r="C81" s="49" t="n">
        <v>10792034</v>
      </c>
      <c r="D81" s="3" t="inlineStr">
        <is>
          <t>State assessments and the like.</t>
        </is>
      </c>
      <c r="E81" s="3" t="inlineStr">
        <is>
          <t>FY2027 Financial Plan p.384</t>
        </is>
      </c>
    </row>
    <row r="82">
      <c r="A82" s="20" t="inlineStr">
        <is>
          <t>K_NonAppG</t>
        </is>
      </c>
      <c r="B82" s="3" t="inlineStr">
        <is>
          <t>Non-appropriated items, yearly growth</t>
        </is>
      </c>
      <c r="C82" s="51" t="n">
        <v>0.0238</v>
      </c>
      <c r="D82" s="3" t="inlineStr">
        <is>
          <t>The Town's own table, FY2027 to FY2032.</t>
        </is>
      </c>
      <c r="E82" s="3" t="inlineStr">
        <is>
          <t>FY2027 Financial Plan p.384</t>
        </is>
      </c>
    </row>
    <row r="83">
      <c r="A83" s="20" t="inlineStr">
        <is>
          <t>K_Reserve</t>
        </is>
      </c>
      <c r="B83" s="3" t="inlineStr">
        <is>
          <t>Reserve fund: share of the prior year's net revenue</t>
        </is>
      </c>
      <c r="C83" s="46" t="n">
        <v>0.01</v>
      </c>
      <c r="D83" s="3" t="inlineStr">
        <is>
          <t>Town policy: 0.75% from the levy and 0.25% from free cash. Applied from FY2028.</t>
        </is>
      </c>
      <c r="E83" s="3" t="inlineStr">
        <is>
          <t>Reserve Policies, May 2026 Annual Town Meeting Combined Reports pp.8-8 to 8-9</t>
        </is>
      </c>
    </row>
    <row r="84">
      <c r="A84" s="20" t="inlineStr">
        <is>
          <t>K_GenFY31</t>
        </is>
      </c>
      <c r="B84" s="3" t="inlineStr">
        <is>
          <t>General non-departmental, FY2031 (Town plan)</t>
        </is>
      </c>
      <c r="C84" s="17">
        <f>Data!$H$33</f>
        <v/>
      </c>
      <c r="D84" s="3" t="inlineStr">
        <is>
          <t>Mostly stabilization and liability fund deposits, whose targets are shares of revenue, so it grows with net revenue after FY2031.</t>
        </is>
      </c>
      <c r="E84" s="3" t="inlineStr">
        <is>
          <t>Town long-range plan</t>
        </is>
      </c>
    </row>
    <row r="85">
      <c r="A85" s="20" t="inlineStr">
        <is>
          <t>K_NonAppFY31</t>
        </is>
      </c>
      <c r="B85" s="3" t="inlineStr">
        <is>
          <t>Non-appropriated items, FY2031 (Town plan)</t>
        </is>
      </c>
      <c r="C85" s="49" t="n">
        <v>11977091</v>
      </c>
      <c r="D85" s="3" t="inlineStr">
        <is>
          <t>MBTA and county assessments (capped at 2.5% a year by law) and the overlay. Grows at K_NonAppG after FY2031.</t>
        </is>
      </c>
      <c r="E85" s="3" t="inlineStr">
        <is>
          <t>Town long-range plan</t>
        </is>
      </c>
    </row>
    <row r="86">
      <c r="A86" s="20" t="inlineStr">
        <is>
          <t>K_ActShare</t>
        </is>
      </c>
      <c r="B86" s="3" t="inlineStr">
        <is>
          <t>Health plan: share of cost for active employees</t>
        </is>
      </c>
      <c r="C86" s="59" t="n">
        <v>0.64</v>
      </c>
      <c r="D86" s="3" t="inlineStr">
        <is>
          <t>Actives follow staffing; retirees grow on their own. Retirees are 49% of subscribers but 36% of cost (many are on Medicare supplement plans).</t>
        </is>
      </c>
      <c r="E86" s="3" t="inlineStr">
        <is>
          <t>FY2024 audit retiree benefit payments over FY2024 group health spending</t>
        </is>
      </c>
    </row>
    <row r="87">
      <c r="A87" s="20" t="inlineStr">
        <is>
          <t>K_RetGrowth</t>
        </is>
      </c>
      <c r="B87" s="3" t="inlineStr">
        <is>
          <t>Health plan: yearly growth in retiree subscribers</t>
        </is>
      </c>
      <c r="C87" s="51" t="n">
        <v>0.0092182099</v>
      </c>
      <c r="D87" s="3" t="inlineStr">
        <is>
          <t>1,459 in FY2011 to 1,659 in FY2025.</t>
        </is>
      </c>
      <c r="E87" s="3" t="inlineStr">
        <is>
          <t>Financial Plan subscriber tables</t>
        </is>
      </c>
    </row>
    <row r="88">
      <c r="A88" s="20" t="inlineStr">
        <is>
          <t>K_OPEBStep</t>
        </is>
      </c>
      <c r="B88" s="3" t="inlineStr">
        <is>
          <t>Retiree health (OPEB) yearly increase if pension savings are kept</t>
        </is>
      </c>
      <c r="C88" s="49" t="n">
        <v>250000</v>
      </c>
      <c r="D88" s="3" t="inlineStr">
        <is>
          <t>The Town plan's own yearly step, FY2026 to FY2030.</t>
        </is>
      </c>
      <c r="E88" s="3" t="inlineStr">
        <is>
          <t>Town long-range plan</t>
        </is>
      </c>
    </row>
    <row r="89">
      <c r="A89" s="20" t="inlineStr">
        <is>
          <t>K_PenNCPrem</t>
        </is>
      </c>
      <c r="B89" s="3" t="inlineStr">
        <is>
          <t>Pension normal cost growth above Town pay, after FY2031</t>
        </is>
      </c>
      <c r="C89" s="51" t="n">
        <v>0.0065</v>
      </c>
      <c r="D89" s="3" t="inlineStr">
        <is>
          <t>The actuary's 3.5% payroll growth plus 0.15% for mortality improvement, against the 3.0% pay target.</t>
        </is>
      </c>
      <c r="E89" s="3" t="inlineStr">
        <is>
          <t>Brookline Retirement System 2024 valuation, funding schedule notes</t>
        </is>
      </c>
    </row>
    <row r="90">
      <c r="A90" s="20" t="inlineStr">
        <is>
          <t>K_PenRate</t>
        </is>
      </c>
      <c r="B90" s="3" t="inlineStr">
        <is>
          <t>Pension system assumed return</t>
        </is>
      </c>
      <c r="C90" s="46" t="n">
        <v>0.068</v>
      </c>
      <c r="D90" s="3" t="inlineStr">
        <is>
          <t>Used to spread FY2030's catch-up payment if full funding slips.</t>
        </is>
      </c>
      <c r="E90" s="3" t="inlineStr">
        <is>
          <t>Brookline Retirement System 2024 valuation</t>
        </is>
      </c>
    </row>
    <row r="91">
      <c r="A91" s="20" t="inlineStr">
        <is>
          <t>K_DebtGrowth</t>
        </is>
      </c>
      <c r="B91" s="3" t="inlineStr">
        <is>
          <t>Debt within the levy, yearly growth after FY2032</t>
        </is>
      </c>
      <c r="C91" s="46" t="n">
        <v>0.035</v>
      </c>
      <c r="D91" s="3" t="inlineStr">
        <is>
          <t>Close to revenue growth, as the capital policy ties capital to revenue.</t>
        </is>
      </c>
      <c r="E91" s="3" t="inlineStr">
        <is>
          <t>Forecast assumption</t>
        </is>
      </c>
    </row>
    <row r="93">
      <c r="A93" s="2" t="inlineStr">
        <is>
          <t>Police and fire</t>
        </is>
      </c>
    </row>
    <row r="94">
      <c r="A94" s="20" t="inlineStr">
        <is>
          <t>K_Homes25</t>
        </is>
      </c>
      <c r="B94" s="3" t="inlineStr">
        <is>
          <t>Homes in town, FY2025</t>
        </is>
      </c>
      <c r="C94" s="54" t="n">
        <v>28718</v>
      </c>
      <c r="D94" s="3" t="inlineStr">
        <is>
          <t>2020 Census plus about 151 a year.</t>
        </is>
      </c>
      <c r="E94" s="3" t="inlineStr">
        <is>
          <t>Census</t>
        </is>
      </c>
    </row>
    <row r="95">
      <c r="A95" s="20" t="inlineStr">
        <is>
          <t>K_FireHomes</t>
        </is>
      </c>
      <c r="B95" s="3" t="inlineStr">
        <is>
          <t>Homes at which a fire company is added</t>
        </is>
      </c>
      <c r="C95" s="32">
        <f>ROUND(161/5.16*1000,-2)</f>
        <v/>
      </c>
      <c r="D95" s="3" t="inlineStr">
        <is>
          <t>Brookline's 161 firefighters over the median of 21 nearby cities and towns, 5.16 per 1,000 homes.</t>
        </is>
      </c>
      <c r="E95" s="3" t="inlineStr">
        <is>
          <t>Peer staffing, 2020</t>
        </is>
      </c>
    </row>
    <row r="96">
      <c r="A96" s="20" t="inlineStr">
        <is>
          <t>K_FireCost</t>
        </is>
      </c>
      <c r="B96" s="3" t="inlineStr">
        <is>
          <t>A fire company, 20 firefighters a year (FY2025 $, health included)</t>
        </is>
      </c>
      <c r="C96" s="49" t="n">
        <v>3038292</v>
      </c>
      <c r="D96" s="3" t="inlineStr">
        <is>
          <t>20 at $123,639 plus $565,512 overtime at current leave rates.</t>
        </is>
      </c>
      <c r="E96" s="3" t="inlineStr">
        <is>
          <t>Fire Department overtime memo, March 2025, p.7</t>
        </is>
      </c>
    </row>
    <row r="97">
      <c r="A97" s="20" t="inlineStr">
        <is>
          <t>K_PSShare</t>
        </is>
      </c>
      <c r="B97" s="3" t="inlineStr">
        <is>
          <t>Police and fire share of the Town cost of a new home</t>
        </is>
      </c>
      <c r="C97" s="11">
        <f>234/663</f>
        <v/>
      </c>
      <c r="D97" s="3" t="inlineStr">
        <is>
          <t>Cross-town estimate.</t>
        </is>
      </c>
      <c r="E97" s="3" t="inlineStr">
        <is>
          <t>350-town spending comparison</t>
        </is>
      </c>
    </row>
    <row r="98">
      <c r="A98" s="20" t="inlineStr">
        <is>
          <t>K_PSPos</t>
        </is>
      </c>
      <c r="B98" s="3" t="inlineStr">
        <is>
          <t>One police or fire position a year (FY2025 $, health included)</t>
        </is>
      </c>
      <c r="C98" s="49" t="n">
        <v>123639</v>
      </c>
      <c r="D98" s="3" t="inlineStr"/>
      <c r="E98" s="3" t="inlineStr">
        <is>
          <t>Fire Department overtime memo, March 2025</t>
        </is>
      </c>
    </row>
    <row r="99">
      <c r="A99" s="20" t="inlineStr">
        <is>
          <t>K_PSRestoreN</t>
        </is>
      </c>
      <c r="B99" s="3" t="inlineStr">
        <is>
          <t>Positions restored: police to 136, fire to 168</t>
        </is>
      </c>
      <c r="C99" s="32">
        <f>(136-128)+(168-160)</f>
        <v/>
      </c>
      <c r="D99" s="3" t="inlineStr">
        <is>
          <t>Police at the FY2018 to FY2020 level, fire at the FY2004 level.</t>
        </is>
      </c>
      <c r="E99" s="3" t="inlineStr">
        <is>
          <t>Financial Plans</t>
        </is>
      </c>
    </row>
    <row r="100">
      <c r="A100" s="20" t="inlineStr">
        <is>
          <t>K_FireSteps</t>
        </is>
      </c>
      <c r="B100" s="3" t="inlineStr">
        <is>
          <t>Fire contract: new 5- and 10-year steps, from FY2028 (FY2028 $)</t>
        </is>
      </c>
      <c r="C100" s="49" t="n">
        <v>909471</v>
      </c>
      <c r="D100" s="3" t="inlineStr">
        <is>
          <t>Agreed in the 2025 contract; grows with Public Safety pay after FY2028.</t>
        </is>
      </c>
      <c r="E100" s="3" t="inlineStr">
        <is>
          <t>ERSC Final Report, March 2026, pp.108-109</t>
        </is>
      </c>
    </row>
    <row r="101">
      <c r="A101" s="20" t="inlineStr">
        <is>
          <t>K_PolRefill28</t>
        </is>
      </c>
      <c r="B101" s="3" t="inlineStr">
        <is>
          <t>Police positions refilled by FY2028</t>
        </is>
      </c>
      <c r="C101" s="54" t="n">
        <v>2</v>
      </c>
      <c r="D101" s="3" t="inlineStr">
        <is>
          <t>Six positions held open to fund the contract are refilled with the override: two in FY2027 (in the budget), two more in each of FY2028 and FY2029. Already counted when staffing is restored.</t>
        </is>
      </c>
      <c r="E101" s="3" t="inlineStr">
        <is>
          <t>Advisory Committee report, May 2026 Combined Reports p.8-19</t>
        </is>
      </c>
    </row>
    <row r="102">
      <c r="A102" s="20" t="inlineStr">
        <is>
          <t>K_PolRefill29</t>
        </is>
      </c>
      <c r="B102" s="3" t="inlineStr">
        <is>
          <t>Police positions refilled by FY2029</t>
        </is>
      </c>
      <c r="C102" s="54" t="n">
        <v>4</v>
      </c>
      <c r="D102" s="3" t="inlineStr"/>
      <c r="E102" s="3" t="inlineStr">
        <is>
          <t>Advisory Committee report, May 2026</t>
        </is>
      </c>
    </row>
    <row r="103">
      <c r="A103" s="20" t="inlineStr">
        <is>
          <t>K_FCDeposit</t>
        </is>
      </c>
      <c r="B103" s="3" t="inlineStr">
        <is>
          <t>Free cash deposits: share of general non-departmental</t>
        </is>
      </c>
      <c r="C103" s="46" t="n">
        <v>0.7967240525</v>
      </c>
      <c r="D103" s="3" t="inlineStr">
        <is>
          <t>Stabilization, liability and housing trust deposits, FY2027: $6.75M of $8.48M.</t>
        </is>
      </c>
      <c r="E103" s="3" t="inlineStr">
        <is>
          <t>FY2027 budget as adopted</t>
        </is>
      </c>
    </row>
    <row r="104">
      <c r="A104" s="20" t="inlineStr">
        <is>
          <t>K_FCReserve</t>
        </is>
      </c>
      <c r="B104" s="3" t="inlineStr">
        <is>
          <t>Free cash share of the reserve fund (of prior-year net revenue)</t>
        </is>
      </c>
      <c r="C104" s="51" t="n">
        <v>0.0025</v>
      </c>
      <c r="D104" s="3" t="inlineStr">
        <is>
          <t>Free cash never pays for the operating budget; what is left after these uses goes to capital and one-time uses.</t>
        </is>
      </c>
      <c r="E104" s="3" t="inlineStr">
        <is>
          <t>Free Cash Policies, May 2026 Combined Reports p.8-8</t>
        </is>
      </c>
    </row>
    <row r="105">
      <c r="A105" s="20" t="inlineStr">
        <is>
          <t>K_OpebRate</t>
        </is>
      </c>
      <c r="B105" s="3" t="inlineStr">
        <is>
          <t>Retiree health liability: interest (discount) rate</t>
        </is>
      </c>
      <c r="C105" s="51" t="n">
        <v>0.06900000000000001</v>
      </c>
      <c r="D105" s="3" t="inlineStr">
        <is>
          <t>The trust's assumed return; the liability grows at this rate too.</t>
        </is>
      </c>
      <c r="E105" s="3" t="inlineStr">
        <is>
          <t>FY2024 audit, OPEB note p.84</t>
        </is>
      </c>
    </row>
    <row r="106">
      <c r="A106" s="20" t="inlineStr">
        <is>
          <t>K_OpebTrendLong</t>
        </is>
      </c>
      <c r="B106" s="3" t="inlineStr">
        <is>
          <t>Retiree health: the actuary's long-run premium trend</t>
        </is>
      </c>
      <c r="C106" s="51" t="n">
        <v>0.045</v>
      </c>
      <c r="D106" s="3" t="inlineStr">
        <is>
          <t>The liability's service cost and benefits grow at the actuary's trend, not at the premium settings, which move the health insurance line only.</t>
        </is>
      </c>
      <c r="E106" s="3" t="inlineStr">
        <is>
          <t>FY2024 audit, OPEB note</t>
        </is>
      </c>
    </row>
    <row r="107">
      <c r="A107" s="20" t="inlineStr">
        <is>
          <t>K_OpebTol27</t>
        </is>
      </c>
      <c r="B107" s="3" t="inlineStr">
        <is>
          <t>Retiree health total liability, June 30, 2027</t>
        </is>
      </c>
      <c r="C107" s="49" t="n">
        <v>353188734</v>
      </c>
      <c r="D107" s="3" t="inlineStr">
        <is>
          <t>Rolled forward from the FY2024 audit ($301.8M) on the actuary's trend.</t>
        </is>
      </c>
      <c r="E107" s="3" t="inlineStr">
        <is>
          <t>FY2024 audit; this model</t>
        </is>
      </c>
    </row>
    <row r="108">
      <c r="A108" s="20" t="inlineStr">
        <is>
          <t>K_OpebA27</t>
        </is>
      </c>
      <c r="B108" s="3" t="inlineStr">
        <is>
          <t>Retiree health trust, June 30, 2027</t>
        </is>
      </c>
      <c r="C108" s="49" t="n">
        <v>138909672</v>
      </c>
      <c r="D108" s="3" t="inlineStr">
        <is>
          <t>FY2024 audit ($100.3M) plus deposits and 6.90% a year.</t>
        </is>
      </c>
      <c r="E108" s="3" t="inlineStr">
        <is>
          <t>FY2024 audit; this model</t>
        </is>
      </c>
    </row>
    <row r="109">
      <c r="A109" s="20" t="inlineStr">
        <is>
          <t>K_OpebSC27</t>
        </is>
      </c>
      <c r="B109" s="3" t="inlineStr">
        <is>
          <t>Retiree health service cost, FY2027</t>
        </is>
      </c>
      <c r="C109" s="49" t="n">
        <v>10543318</v>
      </c>
      <c r="D109" s="3" t="inlineStr">
        <is>
          <t>FY2024 audit ($8.5M), grown at the actuary's trend.</t>
        </is>
      </c>
      <c r="E109" s="3" t="inlineStr">
        <is>
          <t>FY2024 audit; this model</t>
        </is>
      </c>
    </row>
    <row r="110">
      <c r="A110" s="20" t="inlineStr">
        <is>
          <t>K_OpebB27</t>
        </is>
      </c>
      <c r="B110" s="3" t="inlineStr">
        <is>
          <t>Retiree health benefits paid, FY2027</t>
        </is>
      </c>
      <c r="C110" s="49" t="n">
        <v>15777807</v>
      </c>
      <c r="D110" s="3" t="inlineStr">
        <is>
          <t>FY2024 audit ($12.4M), grown at the actuary's trend and with retirees.</t>
        </is>
      </c>
      <c r="E110" s="3" t="inlineStr">
        <is>
          <t>FY2024 audit; this model</t>
        </is>
      </c>
    </row>
    <row r="111">
      <c r="A111" s="20" t="inlineStr">
        <is>
          <t>K_PSSharePol</t>
        </is>
      </c>
      <c r="B111" s="3" t="inlineStr">
        <is>
          <t>Police part of the police and fire share</t>
        </is>
      </c>
      <c r="C111" s="11">
        <f>448/(448+532)</f>
        <v/>
      </c>
      <c r="D111" s="3" t="inlineStr">
        <is>
          <t>RKG's per-household police and fire costs for Brookline.</t>
        </is>
      </c>
      <c r="E111" s="3" t="inlineStr">
        <is>
          <t>RKG fiscal impact study, FY2025</t>
        </is>
      </c>
    </row>
    <row r="112">
      <c r="A112" s="20" t="inlineStr">
        <is>
          <t>K_PolBudget</t>
        </is>
      </c>
      <c r="B112" s="3" t="inlineStr">
        <is>
          <t>Sworn police, FY2027 budget</t>
        </is>
      </c>
      <c r="C112" s="54" t="n">
        <v>128</v>
      </c>
      <c r="D112" s="3" t="inlineStr"/>
      <c r="E112" s="3" t="inlineStr">
        <is>
          <t>FY2027 Financial Plan</t>
        </is>
      </c>
    </row>
    <row r="113">
      <c r="A113" s="20" t="inlineStr">
        <is>
          <t>K_PolRatio</t>
        </is>
      </c>
      <c r="B113" s="3" t="inlineStr">
        <is>
          <t>Police per 1,000 homes, median of nearby cities and towns</t>
        </is>
      </c>
      <c r="C113" s="60" t="n">
        <v>4.42</v>
      </c>
      <c r="D113" s="3" t="inlineStr">
        <is>
          <t>Median of the 19 of 21 peers that report.</t>
        </is>
      </c>
      <c r="E113" s="3" t="inlineStr">
        <is>
          <t>FBI staffing data, 2019</t>
        </is>
      </c>
    </row>
    <row r="115">
      <c r="A115" s="2" t="inlineStr">
        <is>
          <t>Schools</t>
        </is>
      </c>
    </row>
    <row r="116">
      <c r="A116" s="20" t="inlineStr">
        <is>
          <t>K_Staff26</t>
        </is>
      </c>
      <c r="B116" s="3" t="inlineStr">
        <is>
          <t>School staff, FY2026</t>
        </is>
      </c>
      <c r="C116" s="56" t="n">
        <v>1264.1</v>
      </c>
      <c r="D116" s="3" t="inlineStr">
        <is>
          <t>DESE's count for 2025-26 as the School Department reports it; the adopted FY2027 budget's 22.1 fewer positions leave 1,242.0.</t>
        </is>
      </c>
      <c r="E116" s="3" t="inlineStr">
        <is>
          <t>FY27-29 PSB budget summary, Table 4</t>
        </is>
      </c>
    </row>
    <row r="117">
      <c r="A117" s="20" t="inlineStr">
        <is>
          <t>K_SPS</t>
        </is>
      </c>
      <c r="B117" s="3" t="inlineStr">
        <is>
          <t>Schools: share of spending that is pay</t>
        </is>
      </c>
      <c r="C117" s="46" t="n">
        <v>0.83</v>
      </c>
      <c r="D117" s="3" t="inlineStr">
        <is>
          <t>Pay and benefits paid from the school budget over its total.</t>
        </is>
      </c>
      <c r="E117" s="3" t="inlineStr">
        <is>
          <t>School budget, FY2024</t>
        </is>
      </c>
    </row>
    <row r="118">
      <c r="A118" s="20" t="inlineStr">
        <is>
          <t>K_V</t>
        </is>
      </c>
      <c r="B118" s="3" t="inlineStr">
        <is>
          <t>Schools: share of spending that moves with enrollment</t>
        </is>
      </c>
      <c r="C118" s="46" t="n">
        <v>0.67</v>
      </c>
      <c r="D118" s="3" t="inlineStr">
        <is>
          <t>RKG's incremental school budget, set with Town staff; the rest is buildings and administration.</t>
        </is>
      </c>
      <c r="E118" s="3" t="inlineStr">
        <is>
          <t>ERSC report, Appendix C</t>
        </is>
      </c>
    </row>
    <row r="119">
      <c r="A119" s="20" t="inlineStr">
        <is>
          <t>K_Ratio2019</t>
        </is>
      </c>
      <c r="B119" s="3" t="inlineStr">
        <is>
          <t>Students per school staff member, FY2019</t>
        </is>
      </c>
      <c r="C119" s="44">
        <f>7855/1315.8</f>
        <v/>
      </c>
      <c r="D119" s="3" t="inlineStr"/>
      <c r="E119" s="3" t="inlineStr">
        <is>
          <t>DESE</t>
        </is>
      </c>
    </row>
    <row r="120">
      <c r="A120" s="20" t="inlineStr">
        <is>
          <t>K_FillSeat</t>
        </is>
      </c>
      <c r="B120" s="3" t="inlineStr">
        <is>
          <t>Cost of a student filling an open seat, FY2027</t>
        </is>
      </c>
      <c r="C120" s="49" t="n">
        <v>7758</v>
      </c>
      <c r="D120" s="3" t="inlineStr">
        <is>
          <t>An open seat plus special education at the district average; used when students fill open seats.</t>
        </is>
      </c>
      <c r="E120" s="3" t="inlineStr">
        <is>
          <t>special_education_cost_per_student.py (DESE FY2025)</t>
        </is>
      </c>
    </row>
    <row r="121">
      <c r="A121" s="20" t="inlineStr">
        <is>
          <t>K_SPH</t>
        </is>
      </c>
      <c r="B121" s="3" t="inlineStr">
        <is>
          <t>School-age children per added home</t>
        </is>
      </c>
      <c r="C121" s="61" t="n">
        <v>0.2442</v>
      </c>
      <c r="D121" s="3" t="inlineStr">
        <is>
          <t>RKG's per-bedroom rates applied to the mix of homes being built. The forecast adds apartments and condominiums, not age-restricted homes. Across Massachusetts, added homes have brought fewer public school students than this.</t>
        </is>
      </c>
      <c r="E121" s="3" t="inlineStr">
        <is>
          <t>RKG fiscal impact study</t>
        </is>
      </c>
    </row>
    <row r="123">
      <c r="A123" s="2" t="inlineStr">
        <is>
          <t>FY2027 budget as adopted</t>
        </is>
      </c>
    </row>
    <row r="124">
      <c r="A124" s="20" t="inlineStr">
        <is>
          <t>A_TD</t>
        </is>
      </c>
      <c r="B124" s="3" t="inlineStr">
        <is>
          <t>Town departments</t>
        </is>
      </c>
      <c r="C124" s="49" t="n">
        <v>103486124</v>
      </c>
      <c r="D124" s="3" t="inlineStr"/>
      <c r="E124" s="3" t="inlineStr">
        <is>
          <t>Annual Town Meeting, May 2026, Table 1</t>
        </is>
      </c>
    </row>
    <row r="125">
      <c r="A125" s="20" t="inlineStr">
        <is>
          <t>A_Sch</t>
        </is>
      </c>
      <c r="B125" s="3" t="inlineStr">
        <is>
          <t>Schools</t>
        </is>
      </c>
      <c r="C125" s="49" t="n">
        <v>149801900</v>
      </c>
      <c r="D125" s="3" t="inlineStr"/>
      <c r="E125" s="3" t="inlineStr">
        <is>
          <t>Same</t>
        </is>
      </c>
    </row>
    <row r="126">
      <c r="A126" s="20" t="inlineStr">
        <is>
          <t>A_GH</t>
        </is>
      </c>
      <c r="B126" s="3" t="inlineStr">
        <is>
          <t>Health insurance</t>
        </is>
      </c>
      <c r="C126" s="49" t="n">
        <v>46364204</v>
      </c>
      <c r="D126" s="3" t="inlineStr"/>
      <c r="E126" s="3" t="inlineStr">
        <is>
          <t>Same</t>
        </is>
      </c>
    </row>
    <row r="127">
      <c r="A127" s="20" t="inlineStr">
        <is>
          <t>A_Pen</t>
        </is>
      </c>
      <c r="B127" s="3" t="inlineStr">
        <is>
          <t>Pensions</t>
        </is>
      </c>
      <c r="C127" s="49" t="n">
        <v>41167421</v>
      </c>
      <c r="D127" s="3" t="inlineStr"/>
      <c r="E127" s="3" t="inlineStr">
        <is>
          <t>Same</t>
        </is>
      </c>
    </row>
    <row r="128">
      <c r="A128" s="20" t="inlineStr">
        <is>
          <t>A_OPEB</t>
        </is>
      </c>
      <c r="B128" s="3" t="inlineStr">
        <is>
          <t>Retiree health (OPEB)</t>
        </is>
      </c>
      <c r="C128" s="49" t="n">
        <v>4931980</v>
      </c>
      <c r="D128" s="3" t="inlineStr"/>
      <c r="E128" s="3" t="inlineStr">
        <is>
          <t>Same</t>
        </is>
      </c>
    </row>
    <row r="129">
      <c r="A129" s="20" t="inlineStr">
        <is>
          <t>A_OB</t>
        </is>
      </c>
      <c r="B129" s="3" t="inlineStr">
        <is>
          <t>Other benefits</t>
        </is>
      </c>
      <c r="C129" s="17">
        <f>99123428-A_Pen-A_GH-A_OPEB</f>
        <v/>
      </c>
      <c r="D129" s="3" t="inlineStr">
        <is>
          <t>All employee benefits less the three above.</t>
        </is>
      </c>
      <c r="E129" s="3" t="inlineStr">
        <is>
          <t>Same</t>
        </is>
      </c>
    </row>
    <row r="130">
      <c r="A130" s="20" t="inlineStr">
        <is>
          <t>A_Debt</t>
        </is>
      </c>
      <c r="B130" s="3" t="inlineStr">
        <is>
          <t>Debt within the levy</t>
        </is>
      </c>
      <c r="C130" s="17">
        <f>49425313-35379833</f>
        <v/>
      </c>
      <c r="D130" s="3" t="inlineStr">
        <is>
          <t>All debt service less excluded debt.</t>
        </is>
      </c>
      <c r="E130" s="3" t="inlineStr">
        <is>
          <t>Same</t>
        </is>
      </c>
    </row>
    <row r="131">
      <c r="A131" s="20" t="inlineStr">
        <is>
          <t>A_Other</t>
        </is>
      </c>
      <c r="B131" s="3" t="inlineStr">
        <is>
          <t>Capital, reserves and other</t>
        </is>
      </c>
      <c r="C131" s="17">
        <f>15614820+22409889+10792034+15000</f>
        <v/>
      </c>
      <c r="D131" s="3" t="inlineStr">
        <is>
          <t>General non-departmental, revenue-financed capital, non-appropriated and vocational education.</t>
        </is>
      </c>
      <c r="E131" s="3" t="inlineStr">
        <is>
          <t>Same</t>
        </is>
      </c>
    </row>
    <row r="132">
      <c r="A132" s="20" t="inlineStr">
        <is>
          <t>A_OtherFunds</t>
        </is>
      </c>
      <c r="B132" s="3" t="inlineStr">
        <is>
          <t>Other available funds</t>
        </is>
      </c>
      <c r="C132" s="49" t="n">
        <v>8755561</v>
      </c>
      <c r="D132" s="3" t="inlineStr"/>
      <c r="E132" s="3" t="inlineStr">
        <is>
          <t>Same</t>
        </is>
      </c>
    </row>
    <row r="133">
      <c r="A133" s="20" t="inlineStr">
        <is>
          <t>A_FTEchg</t>
        </is>
      </c>
      <c r="B133" s="3" t="inlineStr">
        <is>
          <t>Change in school staff from FY2026</t>
        </is>
      </c>
      <c r="C133" s="56" t="n">
        <v>-22.1</v>
      </c>
      <c r="D133" s="3" t="inlineStr"/>
      <c r="E133" s="3" t="inlineStr">
        <is>
          <t>Same</t>
        </is>
      </c>
    </row>
    <row r="135">
      <c r="A135" s="2" t="inlineStr">
        <is>
          <t>Chestnut Hill revenue once built, by estimate</t>
        </is>
      </c>
    </row>
    <row r="136">
      <c r="A136" s="5" t="inlineStr">
        <is>
          <t>Estimate</t>
        </is>
      </c>
      <c r="B136" s="5" t="inlineStr">
        <is>
          <t>Residential share of the property tax</t>
        </is>
      </c>
      <c r="C136" s="5" t="inlineStr">
        <is>
          <t>Property tax a year, FY2025 dollars</t>
        </is>
      </c>
      <c r="D136" s="5" t="inlineStr">
        <is>
          <t>Rooms tax and motor vehicle excise a year, FY2025 dollars</t>
        </is>
      </c>
      <c r="E136" s="5" t="inlineStr">
        <is>
          <t>How it is worked out</t>
        </is>
      </c>
    </row>
    <row r="137">
      <c r="A137" s="20" t="inlineStr">
        <is>
          <t>approved</t>
        </is>
      </c>
      <c r="B137" s="11">
        <f>ROUND(266*1841088/265,0)/(ROUND(266*1841088/265,0)+2696433)</f>
        <v/>
      </c>
      <c r="C137" s="17">
        <f>ROUND(266*1841088/265,0)+2696433</f>
        <v/>
      </c>
      <c r="D137" s="17">
        <f>762120+ROUND(266*99375/265,0)</f>
        <v/>
      </c>
      <c r="E137" s="3" t="inlineStr">
        <is>
          <t>RKG's residential tax per home for 266 homes, plus City Realty scenario 1's commercial tax (the one with the approved 200 rooms); rooms tax for 200 rooms plus RKG's excise per home.</t>
        </is>
      </c>
    </row>
    <row r="138">
      <c r="A138" s="20" t="inlineStr">
        <is>
          <t>cr_avg</t>
        </is>
      </c>
      <c r="B138" s="11">
        <f>3030198/5408241</f>
        <v/>
      </c>
      <c r="C138" s="49" t="n">
        <v>5408241</v>
      </c>
      <c r="D138" s="49" t="n">
        <v>917905</v>
      </c>
      <c r="E138" s="3" t="inlineStr">
        <is>
          <t>Average of City Realty's three scenarios.</t>
        </is>
      </c>
    </row>
    <row r="139">
      <c r="A139" s="20" t="inlineStr">
        <is>
          <t>rkg</t>
        </is>
      </c>
      <c r="B139" s="11">
        <f>1841088/3158174</f>
        <v/>
      </c>
      <c r="C139" s="49" t="n">
        <v>3158174</v>
      </c>
      <c r="D139" s="49" t="n">
        <v>480435</v>
      </c>
      <c r="E139" s="3" t="inlineStr">
        <is>
          <t>RKG's scenario.</t>
        </is>
      </c>
    </row>
    <row r="140">
      <c r="A140" s="20" t="inlineStr">
        <is>
          <t>in_trend</t>
        </is>
      </c>
      <c r="B140" s="46" t="n">
        <v>0</v>
      </c>
      <c r="C140" s="49" t="n">
        <v>0</v>
      </c>
      <c r="D140" s="49" t="n">
        <v>0</v>
      </c>
      <c r="E140" s="3" t="inlineStr">
        <is>
          <t>Counted inside the recent trend, so nothing added.</t>
        </is>
      </c>
    </row>
    <row r="141">
      <c r="A141" s="27" t="inlineStr">
        <is>
          <t>Used in this run (from the Chestnut Hill setting)</t>
        </is>
      </c>
      <c r="B141" s="11">
        <f>INDEX($B$137:$B$140,MATCH(ChcaEstimate,$A$137:$A$140,0))</f>
        <v/>
      </c>
      <c r="C141" s="17">
        <f>INDEX($C$137:$C$140,MATCH(ChcaEstimate,$A$137:$A$140,0))</f>
        <v/>
      </c>
      <c r="D141" s="17">
        <f>INDEX($D$137:$D$140,MATCH(ChcaEstimate,$A$137:$A$140,0))</f>
        <v/>
      </c>
    </row>
  </sheetData>
  <mergeCells count="1">
    <mergeCell ref="A2:F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5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History, FY2005 to FY2025</t>
        </is>
      </c>
    </row>
    <row r="2" ht="48" customHeight="1">
      <c r="A2" s="4" t="inlineStr">
        <is>
          <t>The record the assumptions are measured from (FY2026: new growth only, as certified). Levy, new growth and overrides: Massachusetts Division of Local Services (DLS) levy limit and new growth reports. Revenue and spending: DLS Schedule A. State aid and local receipts: DLS recap sheets and Local Receipts Actual vs Estimate. Surplus: DLS certified free cash. Grey columns are worked out here.</t>
        </is>
      </c>
    </row>
    <row r="4" ht="62" customHeight="1">
      <c r="A4" s="62" t="inlineStr">
        <is>
          <t>Fiscal year</t>
        </is>
      </c>
      <c r="B4" s="62" t="inlineStr">
        <is>
          <t>Levy limit, prior year</t>
        </is>
      </c>
      <c r="C4" s="62" t="inlineStr">
        <is>
          <t>2.5% increase</t>
        </is>
      </c>
      <c r="D4" s="62" t="inlineStr">
        <is>
          <t>New growth applied to the levy</t>
        </is>
      </c>
      <c r="E4" s="62" t="inlineStr">
        <is>
          <t>Override</t>
        </is>
      </c>
      <c r="F4" s="62" t="inlineStr">
        <is>
          <t>Debt exclusions</t>
        </is>
      </c>
      <c r="G4" s="62" t="inlineStr">
        <is>
          <t>Total levy raised</t>
        </is>
      </c>
      <c r="H4" s="62" t="inlineStr">
        <is>
          <t>Residential new growth applied</t>
        </is>
      </c>
      <c r="I4" s="62" t="inlineStr">
        <is>
          <t>State aid</t>
        </is>
      </c>
      <c r="J4" s="62" t="inlineStr">
        <is>
          <t>Local receipts, budget estimate</t>
        </is>
      </c>
      <c r="K4" s="62" t="inlineStr">
        <is>
          <t>Local receipts, actual</t>
        </is>
      </c>
      <c r="L4" s="62" t="inlineStr">
        <is>
          <t>General Fund surplus (certified free cash basis)</t>
        </is>
      </c>
      <c r="M4" s="62" t="inlineStr">
        <is>
          <t>Total revenues, Schedule A</t>
        </is>
      </c>
      <c r="N4" s="62" t="inlineStr">
        <is>
          <t>Spending: General Government</t>
        </is>
      </c>
      <c r="O4" s="62" t="inlineStr">
        <is>
          <t>Spending: Public Safety</t>
        </is>
      </c>
      <c r="P4" s="62" t="inlineStr">
        <is>
          <t>Spending: Public Works</t>
        </is>
      </c>
      <c r="Q4" s="62" t="inlineStr">
        <is>
          <t>Spending: Human Services</t>
        </is>
      </c>
      <c r="R4" s="62" t="inlineStr">
        <is>
          <t>Spending: Culture and Recreation</t>
        </is>
      </c>
      <c r="S4" s="62" t="inlineStr">
        <is>
          <t>Residential new growth, share of prior levy limit</t>
        </is>
      </c>
      <c r="T4" s="62" t="inlineStr">
        <is>
          <t>All new growth, share of prior levy limit</t>
        </is>
      </c>
      <c r="U4" s="62" t="inlineStr">
        <is>
          <t>Commercial, industrial and business equipment new growth, share</t>
        </is>
      </c>
      <c r="V4" s="62" t="inlineStr">
        <is>
          <t>Surplus not from receipts beating budget, share of revenue</t>
        </is>
      </c>
    </row>
    <row r="5">
      <c r="A5" s="19" t="n">
        <v>2005</v>
      </c>
      <c r="B5" s="17" t="n">
        <v>112976154</v>
      </c>
      <c r="C5" s="17" t="n">
        <v>2824404</v>
      </c>
      <c r="D5" s="17" t="n">
        <v>2386251</v>
      </c>
      <c r="E5" s="17" t="n">
        <v>0</v>
      </c>
      <c r="F5" s="17" t="n">
        <v>1676384</v>
      </c>
      <c r="G5" s="17" t="n">
        <v>119852046</v>
      </c>
      <c r="H5" s="17" t="n">
        <v>1744877</v>
      </c>
      <c r="I5" s="17" t="n">
        <v>17094030</v>
      </c>
      <c r="L5" s="17" t="n">
        <v>-1032557</v>
      </c>
      <c r="M5" s="17" t="n">
        <v>167934717</v>
      </c>
      <c r="N5" s="17" t="n">
        <v>12211085</v>
      </c>
      <c r="O5" s="17" t="n">
        <v>25373371</v>
      </c>
      <c r="P5" s="17" t="n">
        <v>13742331</v>
      </c>
      <c r="Q5" s="17" t="n">
        <v>1652626</v>
      </c>
      <c r="R5" s="17" t="n">
        <v>6481806</v>
      </c>
      <c r="S5" s="63">
        <f>IFERROR(H5/B5,"")</f>
        <v/>
      </c>
      <c r="T5" s="63">
        <f>IFERROR(D5/B5,"")</f>
        <v/>
      </c>
      <c r="U5" s="63">
        <f>IFERROR(T5-S5,"")</f>
        <v/>
      </c>
      <c r="V5" s="8">
        <f>IFERROR((L5-(K5-J5))/M5,"")</f>
        <v/>
      </c>
    </row>
    <row r="6">
      <c r="A6" s="19" t="n">
        <v>2006</v>
      </c>
      <c r="B6" s="17" t="n">
        <v>118188364</v>
      </c>
      <c r="C6" s="17" t="n">
        <v>2954709</v>
      </c>
      <c r="D6" s="17" t="n">
        <v>2232945</v>
      </c>
      <c r="E6" s="17" t="n">
        <v>0</v>
      </c>
      <c r="F6" s="17" t="n">
        <v>1648735</v>
      </c>
      <c r="G6" s="17" t="n">
        <v>125014839</v>
      </c>
      <c r="H6" s="17" t="n">
        <v>1621827</v>
      </c>
      <c r="I6" s="17" t="n">
        <v>18027706</v>
      </c>
      <c r="L6" s="17" t="n">
        <v>-1357404</v>
      </c>
      <c r="M6" s="17" t="n">
        <v>168890619</v>
      </c>
      <c r="N6" s="17" t="n">
        <v>10787649</v>
      </c>
      <c r="O6" s="17" t="n">
        <v>26195248</v>
      </c>
      <c r="P6" s="17" t="n">
        <v>13221815</v>
      </c>
      <c r="Q6" s="17" t="n">
        <v>1765849</v>
      </c>
      <c r="R6" s="17" t="n">
        <v>7220217</v>
      </c>
      <c r="S6" s="63">
        <f>IFERROR(H6/B6,"")</f>
        <v/>
      </c>
      <c r="T6" s="63">
        <f>IFERROR(D6/B6,"")</f>
        <v/>
      </c>
      <c r="U6" s="63">
        <f>IFERROR(T6-S6,"")</f>
        <v/>
      </c>
      <c r="V6" s="8">
        <f>IFERROR((L6-(K6-J6))/M6,"")</f>
        <v/>
      </c>
    </row>
    <row r="7">
      <c r="A7" s="19" t="n">
        <v>2007</v>
      </c>
      <c r="B7" s="17" t="n">
        <v>123389202</v>
      </c>
      <c r="C7" s="17" t="n">
        <v>3084730</v>
      </c>
      <c r="D7" s="17" t="n">
        <v>1989683</v>
      </c>
      <c r="E7" s="17" t="n">
        <v>0</v>
      </c>
      <c r="F7" s="17" t="n">
        <v>1614854</v>
      </c>
      <c r="G7" s="17" t="n">
        <v>130076534</v>
      </c>
      <c r="H7" s="17" t="n">
        <v>1241582</v>
      </c>
      <c r="I7" s="17" t="n">
        <v>18021104</v>
      </c>
      <c r="L7" s="17" t="n">
        <v>-142494</v>
      </c>
      <c r="M7" s="17" t="n">
        <v>178383652</v>
      </c>
      <c r="N7" s="17" t="n">
        <v>12219549</v>
      </c>
      <c r="O7" s="17" t="n">
        <v>27115817</v>
      </c>
      <c r="P7" s="17" t="n">
        <v>12908584</v>
      </c>
      <c r="Q7" s="17" t="n">
        <v>1838460</v>
      </c>
      <c r="R7" s="17" t="n">
        <v>7020520</v>
      </c>
      <c r="S7" s="63">
        <f>IFERROR(H7/B7,"")</f>
        <v/>
      </c>
      <c r="T7" s="63">
        <f>IFERROR(D7/B7,"")</f>
        <v/>
      </c>
      <c r="U7" s="63">
        <f>IFERROR(T7-S7,"")</f>
        <v/>
      </c>
      <c r="V7" s="8">
        <f>IFERROR((L7-(K7-J7))/M7,"")</f>
        <v/>
      </c>
    </row>
    <row r="8">
      <c r="A8" s="19" t="n">
        <v>2008</v>
      </c>
      <c r="B8" s="17" t="n">
        <v>128463616</v>
      </c>
      <c r="C8" s="17" t="n">
        <v>3211590</v>
      </c>
      <c r="D8" s="17" t="n">
        <v>2584680</v>
      </c>
      <c r="E8" s="17" t="n">
        <v>0</v>
      </c>
      <c r="F8" s="17" t="n">
        <v>1568947</v>
      </c>
      <c r="G8" s="17" t="n">
        <v>135811901</v>
      </c>
      <c r="H8" s="17" t="n">
        <v>2157624</v>
      </c>
      <c r="I8" s="17" t="n">
        <v>18973131</v>
      </c>
      <c r="L8" s="17" t="n">
        <v>-913423</v>
      </c>
      <c r="M8" s="17" t="n">
        <v>185803513</v>
      </c>
      <c r="N8" s="17" t="n">
        <v>11203008</v>
      </c>
      <c r="O8" s="17" t="n">
        <v>26915155</v>
      </c>
      <c r="P8" s="17" t="n">
        <v>12454642</v>
      </c>
      <c r="Q8" s="17" t="n">
        <v>1819321</v>
      </c>
      <c r="R8" s="17" t="n">
        <v>7264628</v>
      </c>
      <c r="S8" s="63">
        <f>IFERROR(H8/B8,"")</f>
        <v/>
      </c>
      <c r="T8" s="63">
        <f>IFERROR(D8/B8,"")</f>
        <v/>
      </c>
      <c r="U8" s="63">
        <f>IFERROR(T8-S8,"")</f>
        <v/>
      </c>
      <c r="V8" s="8">
        <f>IFERROR((L8-(K8-J8))/M8,"")</f>
        <v/>
      </c>
    </row>
    <row r="9">
      <c r="A9" s="19" t="n">
        <v>2009</v>
      </c>
      <c r="B9" s="17" t="n">
        <v>134259886</v>
      </c>
      <c r="C9" s="17" t="n">
        <v>3356497</v>
      </c>
      <c r="D9" s="17" t="n">
        <v>1828261</v>
      </c>
      <c r="E9" s="17" t="n">
        <v>6200000</v>
      </c>
      <c r="F9" s="17" t="n">
        <v>1692697</v>
      </c>
      <c r="G9" s="17" t="n">
        <v>147273068</v>
      </c>
      <c r="H9" s="17" t="n">
        <v>1306004</v>
      </c>
      <c r="I9" s="17" t="n">
        <v>19623724</v>
      </c>
      <c r="L9" s="17" t="n">
        <v>1826552</v>
      </c>
      <c r="M9" s="17" t="n">
        <v>192482479</v>
      </c>
      <c r="N9" s="17" t="n">
        <v>12366076</v>
      </c>
      <c r="O9" s="17" t="n">
        <v>28141128</v>
      </c>
      <c r="P9" s="17" t="n">
        <v>13670118</v>
      </c>
      <c r="Q9" s="17" t="n">
        <v>1950819</v>
      </c>
      <c r="R9" s="17" t="n">
        <v>6951910</v>
      </c>
      <c r="S9" s="63">
        <f>IFERROR(H9/B9,"")</f>
        <v/>
      </c>
      <c r="T9" s="63">
        <f>IFERROR(D9/B9,"")</f>
        <v/>
      </c>
      <c r="U9" s="63">
        <f>IFERROR(T9-S9,"")</f>
        <v/>
      </c>
      <c r="V9" s="8">
        <f>IFERROR((L9-(K9-J9))/M9,"")</f>
        <v/>
      </c>
    </row>
    <row r="10">
      <c r="A10" s="19" t="n">
        <v>2010</v>
      </c>
      <c r="B10" s="17" t="n">
        <v>145644644</v>
      </c>
      <c r="C10" s="17" t="n">
        <v>3641116</v>
      </c>
      <c r="D10" s="17" t="n">
        <v>1762212</v>
      </c>
      <c r="E10" s="17" t="n">
        <v>0</v>
      </c>
      <c r="F10" s="17" t="n">
        <v>1667074</v>
      </c>
      <c r="G10" s="17" t="n">
        <v>152681998</v>
      </c>
      <c r="H10" s="17" t="n">
        <v>1474371</v>
      </c>
      <c r="I10" s="17" t="n">
        <v>16536492</v>
      </c>
      <c r="L10" s="17" t="n">
        <v>8812147</v>
      </c>
      <c r="M10" s="17" t="n">
        <v>195166931</v>
      </c>
      <c r="N10" s="17" t="n">
        <v>9531358</v>
      </c>
      <c r="O10" s="17" t="n">
        <v>27080345</v>
      </c>
      <c r="P10" s="17" t="n">
        <v>10509904</v>
      </c>
      <c r="Q10" s="17" t="n">
        <v>1840552</v>
      </c>
      <c r="R10" s="17" t="n">
        <v>5961909</v>
      </c>
      <c r="S10" s="63">
        <f>IFERROR(H10/B10,"")</f>
        <v/>
      </c>
      <c r="T10" s="63">
        <f>IFERROR(D10/B10,"")</f>
        <v/>
      </c>
      <c r="U10" s="63">
        <f>IFERROR(T10-S10,"")</f>
        <v/>
      </c>
      <c r="V10" s="8">
        <f>IFERROR((L10-(K10-J10))/M10,"")</f>
        <v/>
      </c>
    </row>
    <row r="11">
      <c r="A11" s="19" t="n">
        <v>2011</v>
      </c>
      <c r="B11" s="17" t="n">
        <v>151047972</v>
      </c>
      <c r="C11" s="17" t="n">
        <v>3776199</v>
      </c>
      <c r="D11" s="17" t="n">
        <v>1829084</v>
      </c>
      <c r="E11" s="17" t="n">
        <v>0</v>
      </c>
      <c r="F11" s="17" t="n">
        <v>1258944</v>
      </c>
      <c r="G11" s="17" t="n">
        <v>157878286</v>
      </c>
      <c r="H11" s="17" t="n">
        <v>1382518</v>
      </c>
      <c r="I11" s="17" t="n">
        <v>13796542</v>
      </c>
      <c r="L11" s="17" t="n">
        <v>10153141</v>
      </c>
      <c r="M11" s="17" t="n">
        <v>197401346</v>
      </c>
      <c r="N11" s="17" t="n">
        <v>9347954</v>
      </c>
      <c r="O11" s="17" t="n">
        <v>28030700</v>
      </c>
      <c r="P11" s="17" t="n">
        <v>11997166</v>
      </c>
      <c r="Q11" s="17" t="n">
        <v>1992869</v>
      </c>
      <c r="R11" s="17" t="n">
        <v>5863962</v>
      </c>
      <c r="S11" s="63">
        <f>IFERROR(H11/B11,"")</f>
        <v/>
      </c>
      <c r="T11" s="63">
        <f>IFERROR(D11/B11,"")</f>
        <v/>
      </c>
      <c r="U11" s="63">
        <f>IFERROR(T11-S11,"")</f>
        <v/>
      </c>
      <c r="V11" s="8">
        <f>IFERROR((L11-(K11-J11))/M11,"")</f>
        <v/>
      </c>
    </row>
    <row r="12">
      <c r="A12" s="19" t="n">
        <v>2012</v>
      </c>
      <c r="B12" s="17" t="n">
        <v>156653255</v>
      </c>
      <c r="C12" s="17" t="n">
        <v>3916331</v>
      </c>
      <c r="D12" s="17" t="n">
        <v>1984224</v>
      </c>
      <c r="E12" s="17" t="n">
        <v>0</v>
      </c>
      <c r="F12" s="17" t="n">
        <v>1090408</v>
      </c>
      <c r="G12" s="17" t="n">
        <v>163620490</v>
      </c>
      <c r="H12" s="17" t="n">
        <v>1565148</v>
      </c>
      <c r="I12" s="17" t="n">
        <v>13383563</v>
      </c>
      <c r="L12" s="17" t="n">
        <v>-890993</v>
      </c>
      <c r="M12" s="17" t="n">
        <v>212032653</v>
      </c>
      <c r="N12" s="17" t="n">
        <v>9589942</v>
      </c>
      <c r="O12" s="17" t="n">
        <v>28551429</v>
      </c>
      <c r="P12" s="17" t="n">
        <v>10630118</v>
      </c>
      <c r="Q12" s="17" t="n">
        <v>1973567</v>
      </c>
      <c r="R12" s="17" t="n">
        <v>6151817</v>
      </c>
      <c r="S12" s="63">
        <f>IFERROR(H12/B12,"")</f>
        <v/>
      </c>
      <c r="T12" s="63">
        <f>IFERROR(D12/B12,"")</f>
        <v/>
      </c>
      <c r="U12" s="63">
        <f>IFERROR(T12-S12,"")</f>
        <v/>
      </c>
      <c r="V12" s="8">
        <f>IFERROR((L12-(K12-J12))/M12,"")</f>
        <v/>
      </c>
    </row>
    <row r="13">
      <c r="A13" s="19" t="n">
        <v>2013</v>
      </c>
      <c r="B13" s="17" t="n">
        <v>162553810</v>
      </c>
      <c r="C13" s="17" t="n">
        <v>4063845</v>
      </c>
      <c r="D13" s="17" t="n">
        <v>1920101</v>
      </c>
      <c r="E13" s="17" t="n">
        <v>0</v>
      </c>
      <c r="F13" s="17" t="n">
        <v>1630808</v>
      </c>
      <c r="G13" s="17" t="n">
        <v>170137612</v>
      </c>
      <c r="H13" s="17" t="n">
        <v>1578310</v>
      </c>
      <c r="I13" s="17" t="n">
        <v>15131276</v>
      </c>
      <c r="L13" s="17" t="n">
        <v>13901701</v>
      </c>
      <c r="M13" s="17" t="n">
        <v>225013338</v>
      </c>
      <c r="N13" s="17" t="n">
        <v>9818063</v>
      </c>
      <c r="O13" s="17" t="n">
        <v>28793603</v>
      </c>
      <c r="P13" s="17" t="n">
        <v>11529565</v>
      </c>
      <c r="Q13" s="17" t="n">
        <v>2101592</v>
      </c>
      <c r="R13" s="17" t="n">
        <v>6679258</v>
      </c>
      <c r="S13" s="63">
        <f>IFERROR(H13/B13,"")</f>
        <v/>
      </c>
      <c r="T13" s="63">
        <f>IFERROR(D13/B13,"")</f>
        <v/>
      </c>
      <c r="U13" s="63">
        <f>IFERROR(T13-S13,"")</f>
        <v/>
      </c>
      <c r="V13" s="8">
        <f>IFERROR((L13-(K13-J13))/M13,"")</f>
        <v/>
      </c>
    </row>
    <row r="14">
      <c r="A14" s="19" t="n">
        <v>2014</v>
      </c>
      <c r="B14" s="17" t="n">
        <v>168537757</v>
      </c>
      <c r="C14" s="17" t="n">
        <v>4213444</v>
      </c>
      <c r="D14" s="17" t="n">
        <v>1935408</v>
      </c>
      <c r="E14" s="17" t="n">
        <v>0</v>
      </c>
      <c r="F14" s="17" t="n">
        <v>1112800</v>
      </c>
      <c r="G14" s="17" t="n">
        <v>175783902</v>
      </c>
      <c r="H14" s="17" t="n">
        <v>1368618</v>
      </c>
      <c r="I14" s="17" t="n">
        <v>16659162</v>
      </c>
      <c r="L14" s="17" t="n">
        <v>10338640</v>
      </c>
      <c r="M14" s="17" t="n">
        <v>223722368</v>
      </c>
      <c r="N14" s="17" t="n">
        <v>10106970</v>
      </c>
      <c r="O14" s="17" t="n">
        <v>29099113</v>
      </c>
      <c r="P14" s="17" t="n">
        <v>12148636</v>
      </c>
      <c r="Q14" s="17" t="n">
        <v>2045258</v>
      </c>
      <c r="R14" s="17" t="n">
        <v>6816841</v>
      </c>
      <c r="S14" s="63">
        <f>IFERROR(H14/B14,"")</f>
        <v/>
      </c>
      <c r="T14" s="63">
        <f>IFERROR(D14/B14,"")</f>
        <v/>
      </c>
      <c r="U14" s="63">
        <f>IFERROR(T14-S14,"")</f>
        <v/>
      </c>
      <c r="V14" s="8">
        <f>IFERROR((L14-(K14-J14))/M14,"")</f>
        <v/>
      </c>
    </row>
    <row r="15">
      <c r="A15" s="19" t="n">
        <v>2015</v>
      </c>
      <c r="B15" s="17" t="n">
        <v>174686609</v>
      </c>
      <c r="C15" s="17" t="n">
        <v>4367165</v>
      </c>
      <c r="D15" s="17" t="n">
        <v>2100566</v>
      </c>
      <c r="E15" s="17" t="n">
        <v>0</v>
      </c>
      <c r="F15" s="17" t="n">
        <v>1094400</v>
      </c>
      <c r="G15" s="17" t="n">
        <v>182239297</v>
      </c>
      <c r="H15" s="17" t="n">
        <v>1435526</v>
      </c>
      <c r="I15" s="17" t="n">
        <v>17634875</v>
      </c>
      <c r="L15" s="17" t="n">
        <v>9687851</v>
      </c>
      <c r="M15" s="17" t="n">
        <v>231276828</v>
      </c>
      <c r="N15" s="17" t="n">
        <v>10437557</v>
      </c>
      <c r="O15" s="17" t="n">
        <v>30219418</v>
      </c>
      <c r="P15" s="17" t="n">
        <v>13519758</v>
      </c>
      <c r="Q15" s="17" t="n">
        <v>2138615</v>
      </c>
      <c r="R15" s="17" t="n">
        <v>6868458</v>
      </c>
      <c r="S15" s="63">
        <f>IFERROR(H15/B15,"")</f>
        <v/>
      </c>
      <c r="T15" s="63">
        <f>IFERROR(D15/B15,"")</f>
        <v/>
      </c>
      <c r="U15" s="63">
        <f>IFERROR(T15-S15,"")</f>
        <v/>
      </c>
      <c r="V15" s="8">
        <f>IFERROR((L15-(K15-J15))/M15,"")</f>
        <v/>
      </c>
    </row>
    <row r="16">
      <c r="A16" s="19" t="n">
        <v>2016</v>
      </c>
      <c r="B16" s="17" t="n">
        <v>181154340</v>
      </c>
      <c r="C16" s="17" t="n">
        <v>4528858</v>
      </c>
      <c r="D16" s="17" t="n">
        <v>2090726</v>
      </c>
      <c r="E16" s="17" t="n">
        <v>7665000</v>
      </c>
      <c r="F16" s="17" t="n">
        <v>1076000</v>
      </c>
      <c r="G16" s="17" t="n">
        <v>195049924</v>
      </c>
      <c r="H16" s="17" t="n">
        <v>1568178</v>
      </c>
      <c r="I16" s="17" t="n">
        <v>18837306</v>
      </c>
      <c r="L16" s="17" t="n">
        <v>15546838</v>
      </c>
      <c r="M16" s="17" t="n">
        <v>249427185</v>
      </c>
      <c r="N16" s="17" t="n">
        <v>10864873</v>
      </c>
      <c r="O16" s="17" t="n">
        <v>30701920</v>
      </c>
      <c r="P16" s="17" t="n">
        <v>11878933</v>
      </c>
      <c r="Q16" s="17" t="n">
        <v>2185490</v>
      </c>
      <c r="R16" s="17" t="n">
        <v>7014558</v>
      </c>
      <c r="S16" s="63">
        <f>IFERROR(H16/B16,"")</f>
        <v/>
      </c>
      <c r="T16" s="63">
        <f>IFERROR(D16/B16,"")</f>
        <v/>
      </c>
      <c r="U16" s="63">
        <f>IFERROR(T16-S16,"")</f>
        <v/>
      </c>
      <c r="V16" s="8">
        <f>IFERROR((L16-(K16-J16))/M16,"")</f>
        <v/>
      </c>
    </row>
    <row r="17">
      <c r="A17" s="19" t="n">
        <v>2017</v>
      </c>
      <c r="B17" s="17" t="n">
        <v>195438924</v>
      </c>
      <c r="C17" s="17" t="n">
        <v>4885973</v>
      </c>
      <c r="D17" s="17" t="n">
        <v>2711620</v>
      </c>
      <c r="E17" s="17" t="n">
        <v>0</v>
      </c>
      <c r="F17" s="17" t="n">
        <v>1048400</v>
      </c>
      <c r="G17" s="17" t="n">
        <v>204064199</v>
      </c>
      <c r="H17" s="17" t="n">
        <v>1842898</v>
      </c>
      <c r="I17" s="17" t="n">
        <v>19657251</v>
      </c>
      <c r="J17" s="17" t="n">
        <v>24212598</v>
      </c>
      <c r="K17" s="17" t="n">
        <v>29013746</v>
      </c>
      <c r="L17" s="17" t="n">
        <v>13613951</v>
      </c>
      <c r="M17" s="17" t="n">
        <v>259094788</v>
      </c>
      <c r="N17" s="17" t="n">
        <v>11619881</v>
      </c>
      <c r="O17" s="17" t="n">
        <v>32523188</v>
      </c>
      <c r="P17" s="17" t="n">
        <v>12311822</v>
      </c>
      <c r="Q17" s="17" t="n">
        <v>2202722</v>
      </c>
      <c r="R17" s="17" t="n">
        <v>7165225</v>
      </c>
      <c r="S17" s="63">
        <f>IFERROR(H17/B17,"")</f>
        <v/>
      </c>
      <c r="T17" s="63">
        <f>IFERROR(D17/B17,"")</f>
        <v/>
      </c>
      <c r="U17" s="63">
        <f>IFERROR(T17-S17,"")</f>
        <v/>
      </c>
      <c r="V17" s="8">
        <f>IFERROR((L17-(K17-J17))/M17,"")</f>
        <v/>
      </c>
    </row>
    <row r="18">
      <c r="A18" s="19" t="n">
        <v>2018</v>
      </c>
      <c r="B18" s="17" t="n">
        <v>203036517</v>
      </c>
      <c r="C18" s="17" t="n">
        <v>5075913</v>
      </c>
      <c r="D18" s="17" t="n">
        <v>2264107</v>
      </c>
      <c r="E18" s="17" t="n">
        <v>0</v>
      </c>
      <c r="F18" s="17" t="n">
        <v>1020800</v>
      </c>
      <c r="G18" s="17" t="n">
        <v>211374488</v>
      </c>
      <c r="H18" s="17" t="n">
        <v>1646231</v>
      </c>
      <c r="I18" s="17" t="n">
        <v>20352973</v>
      </c>
      <c r="J18" s="17" t="n">
        <v>29836380</v>
      </c>
      <c r="K18" s="17" t="n">
        <v>36696432</v>
      </c>
      <c r="L18" s="17" t="n">
        <v>12688465</v>
      </c>
      <c r="M18" s="17" t="n">
        <v>269899635</v>
      </c>
      <c r="N18" s="17" t="n">
        <v>11723637</v>
      </c>
      <c r="O18" s="17" t="n">
        <v>32252448</v>
      </c>
      <c r="P18" s="17" t="n">
        <v>13330596</v>
      </c>
      <c r="Q18" s="17" t="n">
        <v>2163588</v>
      </c>
      <c r="R18" s="17" t="n">
        <v>7234336</v>
      </c>
      <c r="S18" s="63">
        <f>IFERROR(H18/B18,"")</f>
        <v/>
      </c>
      <c r="T18" s="63">
        <f>IFERROR(D18/B18,"")</f>
        <v/>
      </c>
      <c r="U18" s="63">
        <f>IFERROR(T18-S18,"")</f>
        <v/>
      </c>
      <c r="V18" s="8">
        <f>IFERROR((L18-(K18-J18))/M18,"")</f>
        <v/>
      </c>
    </row>
    <row r="19">
      <c r="A19" s="19" t="n">
        <v>2019</v>
      </c>
      <c r="B19" s="17" t="n">
        <v>210376535</v>
      </c>
      <c r="C19" s="17" t="n">
        <v>5259413</v>
      </c>
      <c r="D19" s="17" t="n">
        <v>2601328</v>
      </c>
      <c r="E19" s="17" t="n">
        <v>6575425</v>
      </c>
      <c r="F19" s="17" t="n">
        <v>3408089</v>
      </c>
      <c r="G19" s="17" t="n">
        <v>224490569</v>
      </c>
      <c r="H19" s="17" t="n">
        <v>1617248</v>
      </c>
      <c r="I19" s="17" t="n">
        <v>22112765</v>
      </c>
      <c r="J19" s="17" t="n">
        <v>30055136</v>
      </c>
      <c r="K19" s="17" t="n">
        <v>36314826</v>
      </c>
      <c r="L19" s="17" t="n">
        <v>14992579</v>
      </c>
      <c r="M19" s="17" t="n">
        <v>285287238</v>
      </c>
      <c r="N19" s="17" t="n">
        <v>12444751</v>
      </c>
      <c r="O19" s="17" t="n">
        <v>34584040</v>
      </c>
      <c r="P19" s="17" t="n">
        <v>13321964</v>
      </c>
      <c r="Q19" s="17" t="n">
        <v>2318926</v>
      </c>
      <c r="R19" s="17" t="n">
        <v>7353301</v>
      </c>
      <c r="S19" s="63">
        <f>IFERROR(H19/B19,"")</f>
        <v/>
      </c>
      <c r="T19" s="63">
        <f>IFERROR(D19/B19,"")</f>
        <v/>
      </c>
      <c r="U19" s="63">
        <f>IFERROR(T19-S19,"")</f>
        <v/>
      </c>
      <c r="V19" s="8">
        <f>IFERROR((L19-(K19-J19))/M19,"")</f>
        <v/>
      </c>
    </row>
    <row r="20">
      <c r="A20" s="19" t="n">
        <v>2020</v>
      </c>
      <c r="B20" s="17" t="n">
        <v>224812701</v>
      </c>
      <c r="C20" s="17" t="n">
        <v>5620318</v>
      </c>
      <c r="D20" s="17" t="n">
        <v>2765718</v>
      </c>
      <c r="E20" s="17" t="n">
        <v>0</v>
      </c>
      <c r="F20" s="17" t="n">
        <v>5700171</v>
      </c>
      <c r="G20" s="17" t="n">
        <v>238487743</v>
      </c>
      <c r="H20" s="17" t="n">
        <v>1812547</v>
      </c>
      <c r="I20" s="17" t="n">
        <v>22386947</v>
      </c>
      <c r="J20" s="17" t="n">
        <v>31591215</v>
      </c>
      <c r="K20" s="17" t="n">
        <v>37330419</v>
      </c>
      <c r="L20" s="17" t="n">
        <v>13077815</v>
      </c>
      <c r="M20" s="17" t="n">
        <v>297528480</v>
      </c>
      <c r="N20" s="17" t="n">
        <v>12581935</v>
      </c>
      <c r="O20" s="17" t="n">
        <v>35129432</v>
      </c>
      <c r="P20" s="17" t="n">
        <v>12741652</v>
      </c>
      <c r="Q20" s="17" t="n">
        <v>2362158</v>
      </c>
      <c r="R20" s="17" t="n">
        <v>7515548</v>
      </c>
      <c r="S20" s="63">
        <f>IFERROR(H20/B20,"")</f>
        <v/>
      </c>
      <c r="T20" s="63">
        <f>IFERROR(D20/B20,"")</f>
        <v/>
      </c>
      <c r="U20" s="63">
        <f>IFERROR(T20-S20,"")</f>
        <v/>
      </c>
      <c r="V20" s="8">
        <f>IFERROR((L20-(K20-J20))/M20,"")</f>
        <v/>
      </c>
    </row>
    <row r="21">
      <c r="A21" s="19" t="n">
        <v>2021</v>
      </c>
      <c r="B21" s="17" t="n">
        <v>233198737</v>
      </c>
      <c r="C21" s="17" t="n">
        <v>5829968</v>
      </c>
      <c r="D21" s="17" t="n">
        <v>3320392</v>
      </c>
      <c r="E21" s="17" t="n">
        <v>0</v>
      </c>
      <c r="F21" s="17" t="n">
        <v>13369914</v>
      </c>
      <c r="G21" s="17" t="n">
        <v>255719011</v>
      </c>
      <c r="H21" s="17" t="n">
        <v>1792131</v>
      </c>
      <c r="I21" s="17" t="n">
        <v>22388437</v>
      </c>
      <c r="J21" s="17" t="n">
        <v>24909221</v>
      </c>
      <c r="K21" s="17" t="n">
        <v>30743773</v>
      </c>
      <c r="L21" s="17" t="n">
        <v>12262725</v>
      </c>
      <c r="M21" s="17" t="n">
        <v>310021983</v>
      </c>
      <c r="N21" s="17" t="n">
        <v>12790198</v>
      </c>
      <c r="O21" s="17" t="n">
        <v>35067861</v>
      </c>
      <c r="P21" s="17" t="n">
        <v>13221233</v>
      </c>
      <c r="Q21" s="17" t="n">
        <v>2438501</v>
      </c>
      <c r="R21" s="17" t="n">
        <v>7607961</v>
      </c>
      <c r="S21" s="63">
        <f>IFERROR(H21/B21,"")</f>
        <v/>
      </c>
      <c r="T21" s="63">
        <f>IFERROR(D21/B21,"")</f>
        <v/>
      </c>
      <c r="U21" s="63">
        <f>IFERROR(T21-S21,"")</f>
        <v/>
      </c>
      <c r="V21" s="8">
        <f>IFERROR((L21-(K21-J21))/M21,"")</f>
        <v/>
      </c>
    </row>
    <row r="22">
      <c r="A22" s="19" t="n">
        <v>2022</v>
      </c>
      <c r="B22" s="17" t="n">
        <v>242349097</v>
      </c>
      <c r="C22" s="17" t="n">
        <v>6058727</v>
      </c>
      <c r="D22" s="17" t="n">
        <v>3458837</v>
      </c>
      <c r="E22" s="17" t="n">
        <v>0</v>
      </c>
      <c r="F22" s="17" t="n">
        <v>20258192</v>
      </c>
      <c r="G22" s="17" t="n">
        <v>272124853</v>
      </c>
      <c r="H22" s="17" t="n">
        <v>1876470</v>
      </c>
      <c r="I22" s="17" t="n">
        <v>22825559</v>
      </c>
      <c r="J22" s="17" t="n">
        <v>26197174</v>
      </c>
      <c r="K22" s="17" t="n">
        <v>36998699</v>
      </c>
      <c r="L22" s="17" t="n">
        <v>24053234</v>
      </c>
      <c r="M22" s="17" t="n">
        <v>339419364</v>
      </c>
      <c r="N22" s="17" t="n">
        <v>12441283</v>
      </c>
      <c r="O22" s="17" t="n">
        <v>36633271</v>
      </c>
      <c r="P22" s="17" t="n">
        <v>13875924</v>
      </c>
      <c r="Q22" s="17" t="n">
        <v>2503622</v>
      </c>
      <c r="R22" s="17" t="n">
        <v>7802448</v>
      </c>
      <c r="S22" s="63">
        <f>IFERROR(H22/B22,"")</f>
        <v/>
      </c>
      <c r="T22" s="63">
        <f>IFERROR(D22/B22,"")</f>
        <v/>
      </c>
      <c r="U22" s="63">
        <f>IFERROR(T22-S22,"")</f>
        <v/>
      </c>
      <c r="V22" s="8">
        <f>IFERROR((L22-(K22-J22))/M22,"")</f>
        <v/>
      </c>
    </row>
    <row r="23">
      <c r="A23" s="19" t="n">
        <v>2023</v>
      </c>
      <c r="B23" s="17" t="n">
        <v>251866661</v>
      </c>
      <c r="C23" s="17" t="n">
        <v>6296667</v>
      </c>
      <c r="D23" s="17" t="n">
        <v>2660313</v>
      </c>
      <c r="E23" s="17" t="n">
        <v>0</v>
      </c>
      <c r="F23" s="17" t="n">
        <v>20555634</v>
      </c>
      <c r="G23" s="17" t="n">
        <v>281379275</v>
      </c>
      <c r="H23" s="17" t="n">
        <v>1867685</v>
      </c>
      <c r="I23" s="17" t="n">
        <v>23230992</v>
      </c>
      <c r="J23" s="17" t="n">
        <v>29525786</v>
      </c>
      <c r="K23" s="17" t="n">
        <v>41208035</v>
      </c>
      <c r="L23" s="17" t="n">
        <v>25065431</v>
      </c>
      <c r="M23" s="17" t="n">
        <v>350331838</v>
      </c>
      <c r="N23" s="17" t="n">
        <v>13924496</v>
      </c>
      <c r="O23" s="17" t="n">
        <v>36382869</v>
      </c>
      <c r="P23" s="17" t="n">
        <v>13588421</v>
      </c>
      <c r="Q23" s="17" t="n">
        <v>2425972</v>
      </c>
      <c r="R23" s="17" t="n">
        <v>7958580</v>
      </c>
      <c r="S23" s="63">
        <f>IFERROR(H23/B23,"")</f>
        <v/>
      </c>
      <c r="T23" s="63">
        <f>IFERROR(D23/B23,"")</f>
        <v/>
      </c>
      <c r="U23" s="63">
        <f>IFERROR(T23-S23,"")</f>
        <v/>
      </c>
      <c r="V23" s="8">
        <f>IFERROR((L23-(K23-J23))/M23,"")</f>
        <v/>
      </c>
    </row>
    <row r="24">
      <c r="A24" s="19" t="n">
        <v>2024</v>
      </c>
      <c r="B24" s="17" t="n">
        <v>260823641</v>
      </c>
      <c r="C24" s="17" t="n">
        <v>6520591</v>
      </c>
      <c r="D24" s="17" t="n">
        <v>3534463</v>
      </c>
      <c r="E24" s="17" t="n">
        <v>11983367</v>
      </c>
      <c r="F24" s="17" t="n">
        <v>20554161</v>
      </c>
      <c r="G24" s="17" t="n">
        <v>297973561</v>
      </c>
      <c r="H24" s="17" t="n">
        <v>2666497</v>
      </c>
      <c r="I24" s="17" t="n">
        <v>23970474</v>
      </c>
      <c r="J24" s="17" t="n">
        <v>30489569</v>
      </c>
      <c r="K24" s="17" t="n">
        <v>45191956</v>
      </c>
      <c r="L24" s="17" t="n">
        <v>24395985</v>
      </c>
      <c r="M24" s="17" t="n">
        <v>367822295</v>
      </c>
      <c r="N24" s="17" t="n">
        <v>13587487</v>
      </c>
      <c r="O24" s="17" t="n">
        <v>41470109</v>
      </c>
      <c r="P24" s="17" t="n">
        <v>13663245</v>
      </c>
      <c r="Q24" s="17" t="n">
        <v>2627566</v>
      </c>
      <c r="R24" s="17" t="n">
        <v>8273220</v>
      </c>
      <c r="S24" s="63">
        <f>IFERROR(H24/B24,"")</f>
        <v/>
      </c>
      <c r="T24" s="63">
        <f>IFERROR(D24/B24,"")</f>
        <v/>
      </c>
      <c r="U24" s="63">
        <f>IFERROR(T24-S24,"")</f>
        <v/>
      </c>
      <c r="V24" s="8">
        <f>IFERROR((L24-(K24-J24))/M24,"")</f>
        <v/>
      </c>
    </row>
    <row r="25">
      <c r="A25" s="19" t="n">
        <v>2025</v>
      </c>
      <c r="B25" s="17" t="n">
        <v>282862062</v>
      </c>
      <c r="C25" s="17" t="n">
        <v>7071552</v>
      </c>
      <c r="D25" s="17" t="n">
        <v>3178133</v>
      </c>
      <c r="E25" s="17" t="n">
        <v>0</v>
      </c>
      <c r="F25" s="17" t="n">
        <v>22012492</v>
      </c>
      <c r="G25" s="17" t="n">
        <v>312568372</v>
      </c>
      <c r="H25" s="17" t="n">
        <v>2519163</v>
      </c>
      <c r="I25" s="17" t="n">
        <v>24973542</v>
      </c>
      <c r="J25" s="17" t="n">
        <v>33050910</v>
      </c>
      <c r="K25" s="17" t="n">
        <v>44398178</v>
      </c>
      <c r="L25" s="17" t="n">
        <v>25306322</v>
      </c>
      <c r="M25" s="17" t="n">
        <v>389982477</v>
      </c>
      <c r="N25" s="17" t="n">
        <v>14585216</v>
      </c>
      <c r="O25" s="17" t="n">
        <v>43497816</v>
      </c>
      <c r="P25" s="17" t="n">
        <v>15080716</v>
      </c>
      <c r="Q25" s="17" t="n">
        <v>2793578</v>
      </c>
      <c r="R25" s="17" t="n">
        <v>8665288</v>
      </c>
      <c r="S25" s="63">
        <f>IFERROR(H25/B25,"")</f>
        <v/>
      </c>
      <c r="T25" s="63">
        <f>IFERROR(D25/B25,"")</f>
        <v/>
      </c>
      <c r="U25" s="63">
        <f>IFERROR(T25-S25,"")</f>
        <v/>
      </c>
      <c r="V25" s="8">
        <f>IFERROR((L25-(K25-J25))/M25,"")</f>
        <v/>
      </c>
    </row>
    <row r="26">
      <c r="A26" s="19" t="n">
        <v>2026</v>
      </c>
      <c r="B26" s="17" t="n">
        <v>293111747</v>
      </c>
      <c r="D26" s="17" t="n">
        <v>3561227</v>
      </c>
      <c r="H26" s="17" t="n">
        <v>2425577</v>
      </c>
      <c r="S26" s="63">
        <f>IFERROR(H26/B26,"")</f>
        <v/>
      </c>
      <c r="T26" s="63">
        <f>IFERROR(D26/B26,"")</f>
        <v/>
      </c>
      <c r="U26" s="63">
        <f>IFERROR(T26-S26,"")</f>
        <v/>
      </c>
      <c r="V26" s="8">
        <f>IFERROR((L26-(K26-J26))/M26,"")</f>
        <v/>
      </c>
    </row>
    <row r="29">
      <c r="A29" s="2" t="inlineStr">
        <is>
          <t>Town departments: how much of spending is pay</t>
        </is>
      </c>
    </row>
    <row r="30">
      <c r="A30" s="20" t="inlineStr">
        <is>
          <t>Each department's FY2019 salary budget (FY2019 Financial Plan) as a share of its FY2019 spending, applied to FY2025 spending.</t>
        </is>
      </c>
    </row>
    <row r="31">
      <c r="A31" s="5" t="inlineStr">
        <is>
          <t>Department</t>
        </is>
      </c>
      <c r="B31" s="5" t="inlineStr">
        <is>
          <t>Spending FY2019</t>
        </is>
      </c>
      <c r="C31" s="5" t="inlineStr">
        <is>
          <t>Spending FY2025</t>
        </is>
      </c>
      <c r="D31" s="5" t="inlineStr">
        <is>
          <t>Salary budget FY2019</t>
        </is>
      </c>
      <c r="E31" s="5" t="inlineStr">
        <is>
          <t>Pay, FY2025 estimate</t>
        </is>
      </c>
    </row>
    <row r="32">
      <c r="A32" t="inlineStr">
        <is>
          <t>General Government</t>
        </is>
      </c>
      <c r="B32" s="17">
        <f>History!$N$19</f>
        <v/>
      </c>
      <c r="C32" s="17">
        <f>History!$N$25</f>
        <v/>
      </c>
      <c r="D32" s="49" t="n">
        <v>9688684</v>
      </c>
      <c r="E32" s="22">
        <f>C32*D32/B32</f>
        <v/>
      </c>
    </row>
    <row r="33">
      <c r="A33" t="inlineStr">
        <is>
          <t>Public Safety</t>
        </is>
      </c>
      <c r="B33" s="17">
        <f>History!$O$19</f>
        <v/>
      </c>
      <c r="C33" s="17">
        <f>History!$O$25</f>
        <v/>
      </c>
      <c r="D33" s="49" t="n">
        <v>29583218</v>
      </c>
      <c r="E33" s="22">
        <f>C33*D33/B33</f>
        <v/>
      </c>
    </row>
    <row r="34">
      <c r="A34" t="inlineStr">
        <is>
          <t>Public Works</t>
        </is>
      </c>
      <c r="B34" s="17">
        <f>History!$P$19</f>
        <v/>
      </c>
      <c r="C34" s="17">
        <f>History!$P$25</f>
        <v/>
      </c>
      <c r="D34" s="49" t="n">
        <v>8152083</v>
      </c>
      <c r="E34" s="22">
        <f>C34*D34/B34</f>
        <v/>
      </c>
    </row>
    <row r="35">
      <c r="A35" t="inlineStr">
        <is>
          <t>Human Services</t>
        </is>
      </c>
      <c r="B35" s="17">
        <f>History!$Q$19</f>
        <v/>
      </c>
      <c r="C35" s="17">
        <f>History!$Q$25</f>
        <v/>
      </c>
      <c r="D35" s="49" t="n">
        <v>1935898</v>
      </c>
      <c r="E35" s="22">
        <f>C35*D35/B35</f>
        <v/>
      </c>
    </row>
    <row r="36">
      <c r="A36" t="inlineStr">
        <is>
          <t>Culture &amp; Recreation</t>
        </is>
      </c>
      <c r="B36" s="17">
        <f>History!$R$19</f>
        <v/>
      </c>
      <c r="C36" s="17">
        <f>History!$R$25</f>
        <v/>
      </c>
      <c r="D36" s="49" t="n">
        <v>3858234</v>
      </c>
      <c r="E36" s="22">
        <f>C36*D36/B36</f>
        <v/>
      </c>
    </row>
    <row r="37">
      <c r="A37" s="27" t="inlineStr">
        <is>
          <t>Total</t>
        </is>
      </c>
      <c r="C37" s="17">
        <f>SUM(C32:C36)</f>
        <v/>
      </c>
      <c r="E37" s="17">
        <f>SUM(E32:E36)</f>
        <v/>
      </c>
    </row>
    <row r="40">
      <c r="A40" s="2" t="inlineStr">
        <is>
          <t>New growth by type, FY2018 to FY2025</t>
        </is>
      </c>
    </row>
    <row r="41">
      <c r="A41" s="20" t="inlineStr">
        <is>
          <t>Value the assessors added from identified new construction (parcel-by-parcel classifier on the assessment rolls, land-value-map), against the total new growth value DLS certified for that class.</t>
        </is>
      </c>
    </row>
    <row r="42" ht="48" customHeight="1">
      <c r="A42" s="62" t="inlineStr">
        <is>
          <t>Fiscal year</t>
        </is>
      </c>
      <c r="B42" s="62" t="inlineStr">
        <is>
          <t>Homes: identified new construction</t>
        </is>
      </c>
      <c r="C42" s="62" t="inlineStr">
        <is>
          <t>Homes: all new growth value (DLS)</t>
        </is>
      </c>
      <c r="D42" s="62" t="inlineStr">
        <is>
          <t>Homes: new construction share</t>
        </is>
      </c>
      <c r="E42" s="62" t="inlineStr">
        <is>
          <t>Commercial: identified new or reclassified</t>
        </is>
      </c>
      <c r="F42" s="62" t="inlineStr">
        <is>
          <t>Commercial, industrial and equipment: all new growth value (DLS)</t>
        </is>
      </c>
      <c r="G42" s="62" t="inlineStr">
        <is>
          <t>Commercial: new share</t>
        </is>
      </c>
    </row>
    <row r="43">
      <c r="A43" s="19" t="n">
        <v>2018</v>
      </c>
      <c r="B43" s="17" t="n">
        <v>41392300</v>
      </c>
      <c r="C43" s="17" t="n">
        <v>166622570</v>
      </c>
      <c r="D43" s="64">
        <f>B43/C43</f>
        <v/>
      </c>
      <c r="E43" s="17" t="n">
        <v>91200</v>
      </c>
      <c r="F43" s="17" t="n">
        <v>38140470</v>
      </c>
      <c r="G43" s="64">
        <f>E43/F43</f>
        <v/>
      </c>
    </row>
    <row r="44">
      <c r="A44" s="19" t="n">
        <v>2019</v>
      </c>
      <c r="B44" s="17" t="n">
        <v>32623500</v>
      </c>
      <c r="C44" s="17" t="n">
        <v>170956400</v>
      </c>
      <c r="D44" s="64">
        <f>B44/C44</f>
        <v/>
      </c>
      <c r="E44" s="17" t="n">
        <v>0</v>
      </c>
      <c r="F44" s="17" t="n">
        <v>62600476</v>
      </c>
      <c r="G44" s="64">
        <f>E44/F44</f>
        <v/>
      </c>
    </row>
    <row r="45">
      <c r="A45" s="19" t="n">
        <v>2020</v>
      </c>
      <c r="B45" s="17" t="n">
        <v>20647900</v>
      </c>
      <c r="C45" s="17" t="n">
        <v>193441475</v>
      </c>
      <c r="D45" s="64">
        <f>B45/C45</f>
        <v/>
      </c>
      <c r="E45" s="17" t="n">
        <v>2893000</v>
      </c>
      <c r="F45" s="17" t="n">
        <v>62015010</v>
      </c>
      <c r="G45" s="64">
        <f>E45/F45</f>
        <v/>
      </c>
    </row>
    <row r="46">
      <c r="A46" s="19" t="n">
        <v>2021</v>
      </c>
      <c r="B46" s="17" t="n">
        <v>88784900</v>
      </c>
      <c r="C46" s="17" t="n">
        <v>189643525</v>
      </c>
      <c r="D46" s="64">
        <f>B46/C46</f>
        <v/>
      </c>
      <c r="E46" s="17" t="n">
        <v>3037400</v>
      </c>
      <c r="F46" s="17" t="n">
        <v>98407020</v>
      </c>
      <c r="G46" s="64">
        <f>E46/F46</f>
        <v/>
      </c>
    </row>
    <row r="47">
      <c r="A47" s="19" t="n">
        <v>2022</v>
      </c>
      <c r="B47" s="17" t="n">
        <v>42919500</v>
      </c>
      <c r="C47" s="17" t="n">
        <v>191476500</v>
      </c>
      <c r="D47" s="64">
        <f>B47/C47</f>
        <v/>
      </c>
      <c r="E47" s="17" t="n">
        <v>2826400</v>
      </c>
      <c r="F47" s="17" t="n">
        <v>98959780</v>
      </c>
      <c r="G47" s="64">
        <f>E47/F47</f>
        <v/>
      </c>
    </row>
    <row r="48">
      <c r="A48" s="19" t="n">
        <v>2023</v>
      </c>
      <c r="B48" s="17" t="n">
        <v>49068000</v>
      </c>
      <c r="C48" s="17" t="n">
        <v>183286030</v>
      </c>
      <c r="D48" s="64">
        <f>B48/C48</f>
        <v/>
      </c>
      <c r="E48" s="17" t="n">
        <v>0</v>
      </c>
      <c r="F48" s="17" t="n">
        <v>47864008</v>
      </c>
      <c r="G48" s="64">
        <f>E48/F48</f>
        <v/>
      </c>
    </row>
    <row r="49">
      <c r="A49" s="19" t="n">
        <v>2024</v>
      </c>
      <c r="B49" s="17" t="n">
        <v>57820300</v>
      </c>
      <c r="C49" s="17" t="n">
        <v>267452056</v>
      </c>
      <c r="D49" s="64">
        <f>B49/C49</f>
        <v/>
      </c>
      <c r="E49" s="17" t="n">
        <v>0</v>
      </c>
      <c r="F49" s="17" t="n">
        <v>51973982</v>
      </c>
      <c r="G49" s="64">
        <f>E49/F49</f>
        <v/>
      </c>
    </row>
    <row r="50">
      <c r="A50" s="19" t="n">
        <v>2025</v>
      </c>
      <c r="B50" s="17" t="n">
        <v>66326600</v>
      </c>
      <c r="C50" s="17" t="n">
        <v>257846768</v>
      </c>
      <c r="D50" s="64">
        <f>B50/C50</f>
        <v/>
      </c>
      <c r="E50" s="17" t="n">
        <v>2038700</v>
      </c>
      <c r="F50" s="17" t="n">
        <v>40156628</v>
      </c>
      <c r="G50" s="64">
        <f>E50/F50</f>
        <v/>
      </c>
    </row>
    <row r="53">
      <c r="A53" s="2" t="inlineStr">
        <is>
          <t>Business equipment (personal property) new growth, share of prior levy limit</t>
        </is>
      </c>
    </row>
    <row r="54">
      <c r="A54" s="20" t="inlineStr">
        <is>
          <t>Board of Assessors, FY2022 to FY2025 Tax Classification Hearing presentations (the only years this split is published).</t>
        </is>
      </c>
    </row>
    <row r="55">
      <c r="A55" s="19" t="n">
        <v>2022</v>
      </c>
      <c r="B55" s="48" t="n">
        <v>0.002374</v>
      </c>
    </row>
    <row r="56">
      <c r="A56" s="19" t="n">
        <v>2023</v>
      </c>
      <c r="B56" s="48" t="n">
        <v>0.002164</v>
      </c>
    </row>
    <row r="57">
      <c r="A57" s="19" t="n">
        <v>2024</v>
      </c>
      <c r="B57" s="48" t="n">
        <v>0.002629</v>
      </c>
    </row>
    <row r="58">
      <c r="A58" s="19" t="n">
        <v>2025</v>
      </c>
      <c r="B58" s="48" t="n">
        <v>0.002011</v>
      </c>
    </row>
    <row r="59">
      <c r="A59" s="19" t="n">
        <v>2026</v>
      </c>
      <c r="B59" s="48" t="n">
        <v>0.002857</v>
      </c>
    </row>
  </sheetData>
  <mergeCells count="1">
    <mergeCell ref="A2:V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7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0" customWidth="1" min="1" max="1"/>
    <col width="3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Year-by-year inputs</t>
        </is>
      </c>
    </row>
    <row r="2" ht="48" customHeight="1">
      <c r="A2" s="4" t="inlineStr">
        <is>
          <t>Schedules the forecast reads year by year: the Town's own long-range plan (January 2026), the FY2027 budget as adopted, the override voters approved in May 2026, and the two enrollment forecasts. The Revenue build and Forecast sheets read them with formulas; nothing here needs editing.</t>
        </is>
      </c>
    </row>
    <row r="4">
      <c r="A4" s="27" t="inlineStr">
        <is>
          <t>Series</t>
        </is>
      </c>
      <c r="B4" s="27" t="inlineStr">
        <is>
          <t>Source</t>
        </is>
      </c>
      <c r="C4" s="28" t="n">
        <v>2026</v>
      </c>
      <c r="D4" s="28" t="n">
        <v>2027</v>
      </c>
      <c r="E4" s="28" t="n">
        <v>2028</v>
      </c>
      <c r="F4" s="28" t="n">
        <v>2029</v>
      </c>
      <c r="G4" s="28" t="n">
        <v>2030</v>
      </c>
      <c r="H4" s="28" t="n">
        <v>2031</v>
      </c>
      <c r="I4" s="28" t="n">
        <v>2032</v>
      </c>
      <c r="J4" s="28" t="n">
        <v>2033</v>
      </c>
      <c r="K4" s="28" t="n">
        <v>2034</v>
      </c>
      <c r="L4" s="28" t="n">
        <v>2035</v>
      </c>
      <c r="M4" s="28" t="n">
        <v>2036</v>
      </c>
      <c r="N4" s="28" t="n">
        <v>2037</v>
      </c>
      <c r="O4" s="28" t="n">
        <v>2038</v>
      </c>
      <c r="P4" s="28" t="n">
        <v>2039</v>
      </c>
      <c r="Q4" s="28" t="n">
        <v>2040</v>
      </c>
    </row>
    <row r="5">
      <c r="A5" t="inlineStr">
        <is>
          <t>Town plan: property tax, including debt exclusions (before the May 2026 override)</t>
        </is>
      </c>
      <c r="B5" s="20" t="inlineStr">
        <is>
          <t>Town long-range plan, Jan 2026</t>
        </is>
      </c>
      <c r="C5" s="17" t="n">
        <v>332554581</v>
      </c>
      <c r="D5" s="17" t="n">
        <v>349452499</v>
      </c>
      <c r="E5" s="17" t="n">
        <v>360438187</v>
      </c>
      <c r="F5" s="17" t="n">
        <v>371761674</v>
      </c>
      <c r="G5" s="17" t="n">
        <v>382631951</v>
      </c>
      <c r="H5" s="17" t="n">
        <v>393779676</v>
      </c>
    </row>
    <row r="6">
      <c r="A6" t="inlineStr">
        <is>
          <t>Town plan: debt exclusion tax</t>
        </is>
      </c>
      <c r="B6" s="20" t="inlineStr">
        <is>
          <t>Town long-range plan, Jan 2026</t>
        </is>
      </c>
      <c r="C6" s="17" t="n">
        <v>28596860</v>
      </c>
      <c r="D6" s="17" t="n">
        <v>35379833</v>
      </c>
      <c r="E6" s="17" t="n">
        <v>36013706</v>
      </c>
      <c r="F6" s="17" t="n">
        <v>36726580</v>
      </c>
      <c r="G6" s="17" t="n">
        <v>36720980</v>
      </c>
      <c r="H6" s="17" t="n">
        <v>36720930</v>
      </c>
    </row>
    <row r="7">
      <c r="A7" t="inlineStr">
        <is>
          <t>Town plan: other available funds</t>
        </is>
      </c>
      <c r="B7" s="20" t="inlineStr">
        <is>
          <t>Town long-range plan, Jan 2026</t>
        </is>
      </c>
      <c r="C7" s="17" t="n">
        <v>4948498</v>
      </c>
      <c r="D7" s="17" t="n">
        <v>4487480</v>
      </c>
      <c r="E7" s="17" t="n">
        <v>4706060</v>
      </c>
      <c r="F7" s="17" t="n">
        <v>4890153</v>
      </c>
      <c r="G7" s="17" t="n">
        <v>5138390</v>
      </c>
      <c r="H7" s="17" t="n">
        <v>4311795</v>
      </c>
    </row>
    <row r="8">
      <c r="A8" t="inlineStr">
        <is>
          <t>May 2026 override: amount added each year</t>
        </is>
      </c>
      <c r="B8" s="20" t="inlineStr">
        <is>
          <t>Override Guide; ballot of May 5, 2026</t>
        </is>
      </c>
      <c r="D8" s="17" t="n">
        <v>9852330</v>
      </c>
      <c r="E8" s="17" t="n">
        <v>5602871</v>
      </c>
      <c r="F8" s="17" t="n">
        <v>7799238</v>
      </c>
    </row>
    <row r="9">
      <c r="A9" t="inlineStr">
        <is>
          <t>Override stabilization fund, drawn over three budgets</t>
        </is>
      </c>
      <c r="B9" s="20" t="inlineStr">
        <is>
          <t>FY2027 budget as adopted</t>
        </is>
      </c>
      <c r="E9" s="17" t="n">
        <v>1189434.333333333</v>
      </c>
      <c r="F9" s="17" t="n">
        <v>1189434.333333333</v>
      </c>
      <c r="G9" s="17" t="n">
        <v>1189434.333333333</v>
      </c>
    </row>
    <row r="10">
      <c r="A10" t="inlineStr">
        <is>
          <t>Enrollment, NESDEC projection</t>
        </is>
      </c>
      <c r="B10" s="20" t="inlineStr">
        <is>
          <t>NESDEC 2023, scaled to Oct 2025</t>
        </is>
      </c>
      <c r="C10" s="33" t="n">
        <v>6949</v>
      </c>
      <c r="D10" s="33" t="n">
        <v>6833</v>
      </c>
      <c r="E10" s="33" t="n">
        <v>6661.5193386478</v>
      </c>
      <c r="F10" s="33" t="n">
        <v>6501.1344847948</v>
      </c>
      <c r="G10" s="33" t="n">
        <v>6402.2809270741</v>
      </c>
      <c r="H10" s="33" t="n">
        <v>6262.0702686743</v>
      </c>
      <c r="I10" s="33" t="n">
        <v>6160.1905816357</v>
      </c>
      <c r="J10" s="33" t="n">
        <v>6032.0844405078</v>
      </c>
      <c r="K10" s="33" t="n">
        <v>5892.8824918807</v>
      </c>
      <c r="L10" s="33" t="n">
        <v>5772.8891924514</v>
      </c>
      <c r="M10" s="33" t="n">
        <v>5646.0387622577</v>
      </c>
      <c r="N10" s="33" t="n">
        <v>5550.9517787996</v>
      </c>
      <c r="O10" s="33" t="n">
        <v>5435.6632000977</v>
      </c>
      <c r="P10" s="33" t="n">
        <v>5401.7996762446</v>
      </c>
      <c r="Q10" s="33" t="n">
        <v>5366.2038202399</v>
      </c>
    </row>
    <row r="11">
      <c r="A11" t="inlineStr">
        <is>
          <t>Enrollment, NESDEC path: students with 0 years of families moving in</t>
        </is>
      </c>
      <c r="B11" s="20" t="inlineStr">
        <is>
          <t>expense_driver_forecast.py</t>
        </is>
      </c>
      <c r="C11" s="33" t="n">
        <v>6949</v>
      </c>
      <c r="D11" s="33" t="n">
        <v>6833</v>
      </c>
      <c r="E11" s="33" t="n">
        <v>260.2471213463</v>
      </c>
      <c r="F11" s="33" t="n">
        <v>260.2471213463</v>
      </c>
      <c r="G11" s="33" t="n">
        <v>261.255831119</v>
      </c>
      <c r="H11" s="33" t="n">
        <v>261.255831119</v>
      </c>
      <c r="I11" s="33" t="n">
        <v>262.2645408916</v>
      </c>
      <c r="J11" s="33" t="n">
        <v>262.2645408916</v>
      </c>
      <c r="K11" s="33" t="n">
        <v>262.2645408916</v>
      </c>
      <c r="L11" s="33" t="n">
        <v>262.2645408916</v>
      </c>
      <c r="M11" s="33" t="n">
        <v>262.2645408916</v>
      </c>
      <c r="N11" s="33" t="n">
        <v>262.2645408916</v>
      </c>
      <c r="O11" s="33" t="n">
        <v>262.2645408916</v>
      </c>
      <c r="P11" s="33" t="n">
        <v>262.2645408916</v>
      </c>
      <c r="Q11" s="33" t="n">
        <v>262.2645408916</v>
      </c>
    </row>
    <row r="12">
      <c r="A12" t="inlineStr">
        <is>
          <t>Enrollment, NESDEC path: students with 1 year of families moving in</t>
        </is>
      </c>
      <c r="B12" s="20" t="inlineStr">
        <is>
          <t>expense_driver_forecast.py</t>
        </is>
      </c>
      <c r="C12" s="33" t="n">
        <v>0</v>
      </c>
      <c r="D12" s="33" t="n">
        <v>0</v>
      </c>
      <c r="E12" s="33" t="n">
        <v>6401.2722173014</v>
      </c>
      <c r="F12" s="33" t="n">
        <v>0</v>
      </c>
      <c r="G12" s="33" t="n">
        <v>0</v>
      </c>
      <c r="H12" s="33" t="n">
        <v>0</v>
      </c>
      <c r="I12" s="33" t="n">
        <v>0</v>
      </c>
      <c r="J12" s="33" t="n">
        <v>0</v>
      </c>
      <c r="K12" s="33" t="n">
        <v>0</v>
      </c>
      <c r="L12" s="33" t="n">
        <v>0</v>
      </c>
      <c r="M12" s="33" t="n">
        <v>0</v>
      </c>
      <c r="N12" s="33" t="n">
        <v>0</v>
      </c>
      <c r="O12" s="33" t="n">
        <v>0</v>
      </c>
      <c r="P12" s="33" t="n">
        <v>0</v>
      </c>
      <c r="Q12" s="33" t="n">
        <v>0</v>
      </c>
    </row>
    <row r="13">
      <c r="A13" t="inlineStr">
        <is>
          <t>Enrollment, NESDEC path: students with 2 years of families moving in</t>
        </is>
      </c>
      <c r="B13" s="20" t="inlineStr">
        <is>
          <t>expense_driver_forecast.py</t>
        </is>
      </c>
      <c r="C13" s="33" t="n">
        <v>0</v>
      </c>
      <c r="D13" s="33" t="n">
        <v>0</v>
      </c>
      <c r="E13" s="33" t="n">
        <v>0</v>
      </c>
      <c r="F13" s="33" t="n">
        <v>6240.8873634485</v>
      </c>
      <c r="G13" s="33" t="n">
        <v>0</v>
      </c>
      <c r="H13" s="33" t="n">
        <v>0</v>
      </c>
      <c r="I13" s="33" t="n">
        <v>0</v>
      </c>
      <c r="J13" s="33" t="n">
        <v>0</v>
      </c>
      <c r="K13" s="33" t="n">
        <v>0</v>
      </c>
      <c r="L13" s="33" t="n">
        <v>0</v>
      </c>
      <c r="M13" s="33" t="n">
        <v>0</v>
      </c>
      <c r="N13" s="33" t="n">
        <v>0</v>
      </c>
      <c r="O13" s="33" t="n">
        <v>0</v>
      </c>
      <c r="P13" s="33" t="n">
        <v>0</v>
      </c>
      <c r="Q13" s="33" t="n">
        <v>0</v>
      </c>
    </row>
    <row r="14">
      <c r="A14" t="inlineStr">
        <is>
          <t>Enrollment, NESDEC path: students with 3 years of families moving in</t>
        </is>
      </c>
      <c r="B14" s="20" t="inlineStr">
        <is>
          <t>expense_driver_forecast.py</t>
        </is>
      </c>
      <c r="C14" s="33" t="n">
        <v>0</v>
      </c>
      <c r="D14" s="33" t="n">
        <v>0</v>
      </c>
      <c r="E14" s="33" t="n">
        <v>0</v>
      </c>
      <c r="F14" s="33" t="n">
        <v>0</v>
      </c>
      <c r="G14" s="33" t="n">
        <v>6141.0250959551</v>
      </c>
      <c r="H14" s="33" t="n">
        <v>0</v>
      </c>
      <c r="I14" s="33" t="n">
        <v>0</v>
      </c>
      <c r="J14" s="33" t="n">
        <v>0</v>
      </c>
      <c r="K14" s="33" t="n">
        <v>0</v>
      </c>
      <c r="L14" s="33" t="n">
        <v>0</v>
      </c>
      <c r="M14" s="33" t="n">
        <v>0</v>
      </c>
      <c r="N14" s="33" t="n">
        <v>0</v>
      </c>
      <c r="O14" s="33" t="n">
        <v>0</v>
      </c>
      <c r="P14" s="33" t="n">
        <v>0</v>
      </c>
      <c r="Q14" s="33" t="n">
        <v>0</v>
      </c>
    </row>
    <row r="15">
      <c r="A15" t="inlineStr">
        <is>
          <t>Enrollment, NESDEC path: students with 4 years of families moving in</t>
        </is>
      </c>
      <c r="B15" s="20" t="inlineStr">
        <is>
          <t>expense_driver_forecast.py</t>
        </is>
      </c>
      <c r="C15" s="33" t="n">
        <v>0</v>
      </c>
      <c r="D15" s="33" t="n">
        <v>0</v>
      </c>
      <c r="E15" s="33" t="n">
        <v>0</v>
      </c>
      <c r="F15" s="33" t="n">
        <v>0</v>
      </c>
      <c r="G15" s="33" t="n">
        <v>0</v>
      </c>
      <c r="H15" s="33" t="n">
        <v>6000.8144375554</v>
      </c>
      <c r="I15" s="33" t="n">
        <v>0</v>
      </c>
      <c r="J15" s="33" t="n">
        <v>0</v>
      </c>
      <c r="K15" s="33" t="n">
        <v>0</v>
      </c>
      <c r="L15" s="33" t="n">
        <v>0</v>
      </c>
      <c r="M15" s="33" t="n">
        <v>0</v>
      </c>
      <c r="N15" s="33" t="n">
        <v>0</v>
      </c>
      <c r="O15" s="33" t="n">
        <v>0</v>
      </c>
      <c r="P15" s="33" t="n">
        <v>0</v>
      </c>
      <c r="Q15" s="33" t="n">
        <v>0</v>
      </c>
    </row>
    <row r="16">
      <c r="A16" t="inlineStr">
        <is>
          <t>Enrollment, NESDEC path: students with 5 years of families moving in</t>
        </is>
      </c>
      <c r="B16" s="20" t="inlineStr">
        <is>
          <t>expense_driver_forecast.py</t>
        </is>
      </c>
      <c r="C16" s="33" t="n">
        <v>0</v>
      </c>
      <c r="D16" s="33" t="n">
        <v>0</v>
      </c>
      <c r="E16" s="33" t="n">
        <v>0</v>
      </c>
      <c r="F16" s="33" t="n">
        <v>0</v>
      </c>
      <c r="G16" s="33" t="n">
        <v>0</v>
      </c>
      <c r="H16" s="33" t="n">
        <v>0</v>
      </c>
      <c r="I16" s="33" t="n">
        <v>5897.926040744</v>
      </c>
      <c r="J16" s="33" t="n">
        <v>0</v>
      </c>
      <c r="K16" s="33" t="n">
        <v>0</v>
      </c>
      <c r="L16" s="33" t="n">
        <v>0</v>
      </c>
      <c r="M16" s="33" t="n">
        <v>0</v>
      </c>
      <c r="N16" s="33" t="n">
        <v>0</v>
      </c>
      <c r="O16" s="33" t="n">
        <v>0</v>
      </c>
      <c r="P16" s="33" t="n">
        <v>0</v>
      </c>
      <c r="Q16" s="33" t="n">
        <v>0</v>
      </c>
    </row>
    <row r="17">
      <c r="A17" t="inlineStr">
        <is>
          <t>Enrollment, NESDEC path: students with 6 years of families moving in</t>
        </is>
      </c>
      <c r="B17" s="20" t="inlineStr">
        <is>
          <t>expense_driver_forecast.py</t>
        </is>
      </c>
      <c r="C17" s="33" t="n">
        <v>0</v>
      </c>
      <c r="D17" s="33" t="n">
        <v>0</v>
      </c>
      <c r="E17" s="33" t="n">
        <v>0</v>
      </c>
      <c r="F17" s="33" t="n">
        <v>0</v>
      </c>
      <c r="G17" s="33" t="n">
        <v>0</v>
      </c>
      <c r="H17" s="33" t="n">
        <v>0</v>
      </c>
      <c r="I17" s="33" t="n">
        <v>0</v>
      </c>
      <c r="J17" s="33" t="n">
        <v>5769.8198996162</v>
      </c>
      <c r="K17" s="33" t="n">
        <v>382.3010038382</v>
      </c>
      <c r="L17" s="33" t="n">
        <v>382.3010038382</v>
      </c>
      <c r="M17" s="33" t="n">
        <v>382.3010038382</v>
      </c>
      <c r="N17" s="33" t="n">
        <v>382.3010038382</v>
      </c>
      <c r="O17" s="33" t="n">
        <v>382.3010038382</v>
      </c>
      <c r="P17" s="33" t="n">
        <v>382.3010038382</v>
      </c>
      <c r="Q17" s="33" t="n">
        <v>382.3010038382</v>
      </c>
    </row>
    <row r="18">
      <c r="A18" t="inlineStr">
        <is>
          <t>Enrollment, NESDEC path: students with 7 years of families moving in</t>
        </is>
      </c>
      <c r="B18" s="20" t="inlineStr">
        <is>
          <t>expense_driver_forecast.py</t>
        </is>
      </c>
      <c r="C18" s="33" t="n">
        <v>0</v>
      </c>
      <c r="D18" s="33" t="n">
        <v>0</v>
      </c>
      <c r="E18" s="33" t="n">
        <v>0</v>
      </c>
      <c r="F18" s="33" t="n">
        <v>0</v>
      </c>
      <c r="G18" s="33" t="n">
        <v>0</v>
      </c>
      <c r="H18" s="33" t="n">
        <v>0</v>
      </c>
      <c r="I18" s="33" t="n">
        <v>0</v>
      </c>
      <c r="J18" s="33" t="n">
        <v>0</v>
      </c>
      <c r="K18" s="33" t="n">
        <v>5248.3169471509</v>
      </c>
      <c r="L18" s="33" t="n">
        <v>393.7838080964</v>
      </c>
      <c r="M18" s="33" t="n">
        <v>393.7838080964</v>
      </c>
      <c r="N18" s="33" t="n">
        <v>393.7838080964</v>
      </c>
      <c r="O18" s="33" t="n">
        <v>393.7838080964</v>
      </c>
      <c r="P18" s="33" t="n">
        <v>393.7838080964</v>
      </c>
      <c r="Q18" s="33" t="n">
        <v>393.7838080964</v>
      </c>
    </row>
    <row r="19">
      <c r="A19" t="inlineStr">
        <is>
          <t>Enrollment, NESDEC path: students with 8 years of families moving in</t>
        </is>
      </c>
      <c r="B19" s="20" t="inlineStr">
        <is>
          <t>expense_driver_forecast.py</t>
        </is>
      </c>
      <c r="C19" s="33" t="n">
        <v>0</v>
      </c>
      <c r="D19" s="33" t="n">
        <v>0</v>
      </c>
      <c r="E19" s="33" t="n">
        <v>0</v>
      </c>
      <c r="F19" s="33" t="n">
        <v>0</v>
      </c>
      <c r="G19" s="33" t="n">
        <v>0</v>
      </c>
      <c r="H19" s="33" t="n">
        <v>0</v>
      </c>
      <c r="I19" s="33" t="n">
        <v>0</v>
      </c>
      <c r="J19" s="33" t="n">
        <v>0</v>
      </c>
      <c r="K19" s="33" t="n">
        <v>0</v>
      </c>
      <c r="L19" s="33" t="n">
        <v>4734.5398396251</v>
      </c>
      <c r="M19" s="33" t="n">
        <v>403.2104107331</v>
      </c>
      <c r="N19" s="33" t="n">
        <v>403.2104107331</v>
      </c>
      <c r="O19" s="33" t="n">
        <v>403.2104107331</v>
      </c>
      <c r="P19" s="33" t="n">
        <v>403.2104107331</v>
      </c>
      <c r="Q19" s="33" t="n">
        <v>403.2104107331</v>
      </c>
    </row>
    <row r="20">
      <c r="A20" t="inlineStr">
        <is>
          <t>Enrollment, NESDEC path: students with 9 years of families moving in</t>
        </is>
      </c>
      <c r="B20" s="20" t="inlineStr">
        <is>
          <t>expense_driver_forecast.py</t>
        </is>
      </c>
      <c r="C20" s="33" t="n">
        <v>0</v>
      </c>
      <c r="D20" s="33" t="n">
        <v>0</v>
      </c>
      <c r="E20" s="33" t="n">
        <v>0</v>
      </c>
      <c r="F20" s="33" t="n">
        <v>0</v>
      </c>
      <c r="G20" s="33" t="n">
        <v>0</v>
      </c>
      <c r="H20" s="33" t="n">
        <v>0</v>
      </c>
      <c r="I20" s="33" t="n">
        <v>0</v>
      </c>
      <c r="J20" s="33" t="n">
        <v>0</v>
      </c>
      <c r="K20" s="33" t="n">
        <v>0</v>
      </c>
      <c r="L20" s="33" t="n">
        <v>0</v>
      </c>
      <c r="M20" s="33" t="n">
        <v>4204.4789986983</v>
      </c>
      <c r="N20" s="33" t="n">
        <v>403.2104107331</v>
      </c>
      <c r="O20" s="33" t="n">
        <v>403.2104107331</v>
      </c>
      <c r="P20" s="33" t="n">
        <v>403.2104107331</v>
      </c>
      <c r="Q20" s="33" t="n">
        <v>403.2104107331</v>
      </c>
    </row>
    <row r="21">
      <c r="A21" t="inlineStr">
        <is>
          <t>Enrollment, NESDEC path: students with 10 years of families moving in</t>
        </is>
      </c>
      <c r="B21" s="20" t="inlineStr">
        <is>
          <t>expense_driver_forecast.py</t>
        </is>
      </c>
      <c r="C21" s="33" t="n">
        <v>0</v>
      </c>
      <c r="D21" s="33" t="n">
        <v>0</v>
      </c>
      <c r="E21" s="33" t="n">
        <v>0</v>
      </c>
      <c r="F21" s="33" t="n">
        <v>0</v>
      </c>
      <c r="G21" s="33" t="n">
        <v>0</v>
      </c>
      <c r="H21" s="33" t="n">
        <v>0</v>
      </c>
      <c r="I21" s="33" t="n">
        <v>0</v>
      </c>
      <c r="J21" s="33" t="n">
        <v>0</v>
      </c>
      <c r="K21" s="33" t="n">
        <v>0</v>
      </c>
      <c r="L21" s="33" t="n">
        <v>0</v>
      </c>
      <c r="M21" s="33" t="n">
        <v>0</v>
      </c>
      <c r="N21" s="33" t="n">
        <v>3706.1816045071</v>
      </c>
      <c r="O21" s="33" t="n">
        <v>407.1520365596</v>
      </c>
      <c r="P21" s="33" t="n">
        <v>407.1520365596</v>
      </c>
      <c r="Q21" s="33" t="n">
        <v>407.1520365596</v>
      </c>
    </row>
    <row r="22">
      <c r="A22" t="inlineStr">
        <is>
          <t>Enrollment, NESDEC path: students with 11 years of families moving in</t>
        </is>
      </c>
      <c r="B22" s="20" t="inlineStr">
        <is>
          <t>expense_driver_forecast.py</t>
        </is>
      </c>
      <c r="C22" s="33" t="n">
        <v>0</v>
      </c>
      <c r="D22" s="33" t="n">
        <v>0</v>
      </c>
      <c r="E22" s="33" t="n">
        <v>0</v>
      </c>
      <c r="F22" s="33" t="n">
        <v>0</v>
      </c>
      <c r="G22" s="33" t="n">
        <v>0</v>
      </c>
      <c r="H22" s="33" t="n">
        <v>0</v>
      </c>
      <c r="I22" s="33" t="n">
        <v>0</v>
      </c>
      <c r="J22" s="33" t="n">
        <v>0</v>
      </c>
      <c r="K22" s="33" t="n">
        <v>0</v>
      </c>
      <c r="L22" s="33" t="n">
        <v>0</v>
      </c>
      <c r="M22" s="33" t="n">
        <v>0</v>
      </c>
      <c r="N22" s="33" t="n">
        <v>0</v>
      </c>
      <c r="O22" s="33" t="n">
        <v>3183.7409892456</v>
      </c>
      <c r="P22" s="33" t="n">
        <v>407.1520365596</v>
      </c>
      <c r="Q22" s="33" t="n">
        <v>407.1520365596</v>
      </c>
    </row>
    <row r="23">
      <c r="A23" t="inlineStr">
        <is>
          <t>Enrollment, NESDEC path: students with 12 years of families moving in</t>
        </is>
      </c>
      <c r="B23" s="20" t="inlineStr">
        <is>
          <t>expense_driver_forecast.py</t>
        </is>
      </c>
      <c r="C23" s="33" t="n">
        <v>0</v>
      </c>
      <c r="D23" s="33" t="n">
        <v>0</v>
      </c>
      <c r="E23" s="33" t="n">
        <v>0</v>
      </c>
      <c r="F23" s="33" t="n">
        <v>0</v>
      </c>
      <c r="G23" s="33" t="n">
        <v>0</v>
      </c>
      <c r="H23" s="33" t="n">
        <v>0</v>
      </c>
      <c r="I23" s="33" t="n">
        <v>0</v>
      </c>
      <c r="J23" s="33" t="n">
        <v>0</v>
      </c>
      <c r="K23" s="33" t="n">
        <v>0</v>
      </c>
      <c r="L23" s="33" t="n">
        <v>0</v>
      </c>
      <c r="M23" s="33" t="n">
        <v>0</v>
      </c>
      <c r="N23" s="33" t="n">
        <v>0</v>
      </c>
      <c r="O23" s="33" t="n">
        <v>0</v>
      </c>
      <c r="P23" s="33" t="n">
        <v>2742.7254288329</v>
      </c>
      <c r="Q23" s="33" t="n">
        <v>387.2273823035</v>
      </c>
    </row>
    <row r="24">
      <c r="A24" t="inlineStr">
        <is>
          <t>Enrollment, NESDEC path: students with 13 years of families moving in</t>
        </is>
      </c>
      <c r="B24" s="20" t="inlineStr">
        <is>
          <t>expense_driver_forecast.py</t>
        </is>
      </c>
      <c r="C24" s="33" t="n">
        <v>0</v>
      </c>
      <c r="D24" s="33" t="n">
        <v>0</v>
      </c>
      <c r="E24" s="33" t="n">
        <v>0</v>
      </c>
      <c r="F24" s="33" t="n">
        <v>0</v>
      </c>
      <c r="G24" s="33" t="n">
        <v>0</v>
      </c>
      <c r="H24" s="33" t="n">
        <v>0</v>
      </c>
      <c r="I24" s="33" t="n">
        <v>0</v>
      </c>
      <c r="J24" s="33" t="n">
        <v>0</v>
      </c>
      <c r="K24" s="33" t="n">
        <v>0</v>
      </c>
      <c r="L24" s="33" t="n">
        <v>0</v>
      </c>
      <c r="M24" s="33" t="n">
        <v>0</v>
      </c>
      <c r="N24" s="33" t="n">
        <v>0</v>
      </c>
      <c r="O24" s="33" t="n">
        <v>0</v>
      </c>
      <c r="P24" s="33" t="n">
        <v>0</v>
      </c>
      <c r="Q24" s="33" t="n">
        <v>2319.9021905249</v>
      </c>
    </row>
    <row r="25">
      <c r="A25" t="inlineStr">
        <is>
          <t>Enrollment, Cropper-McKibben (the schools' forecast)</t>
        </is>
      </c>
      <c r="B25" s="20" t="inlineStr">
        <is>
          <t>Cropper-McKibben 2023</t>
        </is>
      </c>
      <c r="C25" s="33" t="n">
        <v>6949</v>
      </c>
      <c r="D25" s="33" t="n">
        <v>6833</v>
      </c>
      <c r="E25" s="33" t="n">
        <v>6802.3764637849</v>
      </c>
      <c r="F25" s="33" t="n">
        <v>6848.805696111</v>
      </c>
      <c r="G25" s="33" t="n">
        <v>6964.3848489229</v>
      </c>
      <c r="H25" s="33" t="n">
        <v>7031.5590573948</v>
      </c>
      <c r="I25" s="33" t="n">
        <v>7157.0167702761</v>
      </c>
      <c r="J25" s="33" t="n">
        <v>7254.8145149631</v>
      </c>
      <c r="K25" s="33" t="n">
        <v>7353.6001156571</v>
      </c>
      <c r="L25" s="33" t="n">
        <v>7353.6001156571</v>
      </c>
      <c r="M25" s="33" t="n">
        <v>7353.6001156571</v>
      </c>
      <c r="N25" s="33" t="n">
        <v>7353.6001156571</v>
      </c>
      <c r="O25" s="33" t="n">
        <v>7353.6001156571</v>
      </c>
      <c r="P25" s="33" t="n">
        <v>7353.6001156571</v>
      </c>
      <c r="Q25" s="33" t="n">
        <v>7353.6001156571</v>
      </c>
    </row>
    <row r="26">
      <c r="A26" t="inlineStr">
        <is>
          <t>Town plan: pensions</t>
        </is>
      </c>
      <c r="B26" s="20" t="inlineStr">
        <is>
          <t>Town long-range plan, Jan 2026</t>
        </is>
      </c>
      <c r="E26" s="17" t="n">
        <v>44290129</v>
      </c>
      <c r="F26" s="17" t="n">
        <v>47766904</v>
      </c>
      <c r="G26" s="17" t="n">
        <v>44088421</v>
      </c>
      <c r="H26" s="17" t="n">
        <v>7276167</v>
      </c>
    </row>
    <row r="27">
      <c r="A27" t="inlineStr">
        <is>
          <t>Town plan: retiree health (OPEB)</t>
        </is>
      </c>
      <c r="B27" s="20" t="inlineStr">
        <is>
          <t>Town long-range plan, Jan 2026</t>
        </is>
      </c>
      <c r="E27" s="17" t="n">
        <v>5431980</v>
      </c>
      <c r="F27" s="17" t="n">
        <v>5681980</v>
      </c>
      <c r="G27" s="17" t="n">
        <v>5931980</v>
      </c>
      <c r="H27" s="17" t="n">
        <v>42994233</v>
      </c>
    </row>
    <row r="28">
      <c r="A28" t="inlineStr">
        <is>
          <t>Town plan: other benefits</t>
        </is>
      </c>
      <c r="B28" s="20" t="inlineStr">
        <is>
          <t>Town long-range plan, Jan 2026</t>
        </is>
      </c>
      <c r="E28" s="17" t="n">
        <v>7065901</v>
      </c>
      <c r="F28" s="17" t="n">
        <v>7387023</v>
      </c>
      <c r="G28" s="17" t="n">
        <v>7727010</v>
      </c>
      <c r="H28" s="17" t="n">
        <v>8087057</v>
      </c>
    </row>
    <row r="29">
      <c r="A29" t="inlineStr">
        <is>
          <t>Capital table: debt within the levy</t>
        </is>
      </c>
      <c r="B29" s="20" t="inlineStr">
        <is>
          <t>FY2027 Financial Plan p.384</t>
        </is>
      </c>
      <c r="E29" s="17" t="n">
        <v>14367683</v>
      </c>
      <c r="F29" s="17" t="n">
        <v>16096302</v>
      </c>
      <c r="G29" s="17" t="n">
        <v>16462008</v>
      </c>
      <c r="H29" s="17" t="n">
        <v>17594808</v>
      </c>
      <c r="I29" s="17" t="n">
        <v>17514813</v>
      </c>
    </row>
    <row r="30">
      <c r="A30" t="inlineStr">
        <is>
          <t>Town plan: capital, reserves and other</t>
        </is>
      </c>
      <c r="B30" s="20" t="inlineStr">
        <is>
          <t>Town long-range plan, Jan 2026</t>
        </is>
      </c>
      <c r="E30" s="17" t="n">
        <v>43656513</v>
      </c>
      <c r="F30" s="17" t="n">
        <v>44003384</v>
      </c>
      <c r="G30" s="17" t="n">
        <v>45537525</v>
      </c>
      <c r="H30" s="17" t="n">
        <v>46358295</v>
      </c>
      <c r="I30" s="17" t="n">
        <v>48111392</v>
      </c>
      <c r="J30" s="17" t="n">
        <v>49305486</v>
      </c>
      <c r="K30" s="17" t="n">
        <v>50262276</v>
      </c>
      <c r="L30" s="17" t="n">
        <v>51255972</v>
      </c>
      <c r="M30" s="17" t="n">
        <v>52208592</v>
      </c>
      <c r="N30" s="17" t="n">
        <v>53194801</v>
      </c>
      <c r="O30" s="17" t="n">
        <v>54217077</v>
      </c>
      <c r="P30" s="17" t="n">
        <v>55276759</v>
      </c>
      <c r="Q30" s="17" t="n">
        <v>56375242</v>
      </c>
    </row>
    <row r="31">
      <c r="A31" t="inlineStr">
        <is>
          <t>Town plan: capital funded from revenue</t>
        </is>
      </c>
      <c r="B31" s="20" t="inlineStr">
        <is>
          <t>Town long-range plan, Jan 2026</t>
        </is>
      </c>
      <c r="E31" s="17" t="n">
        <v>10186128</v>
      </c>
      <c r="F31" s="17" t="n">
        <v>9207977</v>
      </c>
      <c r="G31" s="17" t="n">
        <v>9623797</v>
      </c>
      <c r="H31" s="17" t="n">
        <v>9292699</v>
      </c>
      <c r="I31" s="17" t="n">
        <v>10109080</v>
      </c>
      <c r="J31" s="17" t="n">
        <v>10810240</v>
      </c>
      <c r="K31" s="17" t="n">
        <v>11233682</v>
      </c>
      <c r="L31" s="17" t="n">
        <v>11673456</v>
      </c>
      <c r="M31" s="17" t="n">
        <v>12095052</v>
      </c>
      <c r="N31" s="17" t="n">
        <v>12531514</v>
      </c>
      <c r="O31" s="17" t="n">
        <v>12983936</v>
      </c>
      <c r="P31" s="17" t="n">
        <v>13452914</v>
      </c>
      <c r="Q31" s="17" t="n">
        <v>13939064</v>
      </c>
    </row>
    <row r="32">
      <c r="A32" t="inlineStr">
        <is>
          <t>Town plan: reserve fund</t>
        </is>
      </c>
      <c r="B32" s="20" t="inlineStr">
        <is>
          <t>Town long-range plan, Jan 2026</t>
        </is>
      </c>
      <c r="E32" s="17" t="n">
        <v>3701523</v>
      </c>
      <c r="F32" s="17" t="n">
        <v>3817321</v>
      </c>
      <c r="G32" s="17" t="n">
        <v>3935559</v>
      </c>
      <c r="H32" s="17" t="n">
        <v>4056845</v>
      </c>
    </row>
    <row r="33">
      <c r="A33" t="inlineStr">
        <is>
          <t>Town plan: general non-departmental</t>
        </is>
      </c>
      <c r="B33" s="20" t="inlineStr">
        <is>
          <t>Town long-range plan, Jan 2026</t>
        </is>
      </c>
      <c r="E33" s="17" t="n">
        <v>8572176</v>
      </c>
      <c r="F33" s="17" t="n">
        <v>8646548</v>
      </c>
      <c r="G33" s="17" t="n">
        <v>8743192</v>
      </c>
      <c r="H33" s="17" t="n">
        <v>8845193</v>
      </c>
    </row>
    <row r="34">
      <c r="A34" t="inlineStr">
        <is>
          <t>Capital paid from free cash</t>
        </is>
      </c>
      <c r="B34" s="20" t="inlineStr">
        <is>
          <t>FY2027 Financial Plan p.384 to FY2032, then a share of net revenue</t>
        </is>
      </c>
      <c r="E34" s="17" t="n">
        <v>10034894</v>
      </c>
      <c r="F34" s="17" t="n">
        <v>10904662</v>
      </c>
      <c r="G34" s="17" t="n">
        <v>11536390</v>
      </c>
      <c r="H34" s="17" t="n">
        <v>12186467</v>
      </c>
      <c r="I34" s="17" t="n">
        <v>13123183</v>
      </c>
      <c r="J34" s="17" t="n">
        <v>13616116</v>
      </c>
      <c r="K34" s="17" t="n">
        <v>14149465</v>
      </c>
      <c r="L34" s="17" t="n">
        <v>14703386</v>
      </c>
      <c r="M34" s="17" t="n">
        <v>15234411</v>
      </c>
      <c r="N34" s="17" t="n">
        <v>15784159</v>
      </c>
      <c r="O34" s="17" t="n">
        <v>16354011</v>
      </c>
      <c r="P34" s="17" t="n">
        <v>16944716</v>
      </c>
      <c r="Q34" s="17" t="n">
        <v>17557049</v>
      </c>
    </row>
    <row r="35">
      <c r="A35" t="inlineStr">
        <is>
          <t>Retiree health: the actuary's premium trend</t>
        </is>
      </c>
      <c r="B35" s="20" t="inlineStr">
        <is>
          <t>FY2024 audit, OPEB note (Medicare and non-Medicare averaged)</t>
        </is>
      </c>
      <c r="E35" s="47" t="n">
        <v>0.055</v>
      </c>
      <c r="F35" s="47" t="n">
        <v>0.0525</v>
      </c>
      <c r="G35" s="47" t="n">
        <v>0.05125</v>
      </c>
      <c r="H35" s="47" t="n">
        <v>0.05</v>
      </c>
      <c r="I35" s="47" t="n">
        <v>0.04875</v>
      </c>
      <c r="J35" s="47" t="n">
        <v>0.0475</v>
      </c>
      <c r="K35" s="47" t="n">
        <v>0.04625</v>
      </c>
    </row>
    <row r="36">
      <c r="A36" t="inlineStr">
        <is>
          <t>Budgeted local receipts, adopted</t>
        </is>
      </c>
      <c r="B36" s="20" t="inlineStr">
        <is>
          <t>FY2026 budget (Town plan) and FY2027 budget as adopted</t>
        </is>
      </c>
      <c r="C36" s="17" t="n">
        <v>34886166</v>
      </c>
      <c r="D36" s="17" t="n">
        <v>37633556</v>
      </c>
    </row>
    <row r="37">
      <c r="A37" t="inlineStr">
        <is>
          <t>Town plan: free cash</t>
        </is>
      </c>
      <c r="B37" s="20" t="inlineStr">
        <is>
          <t>Town long-range plan, Jan 2026</t>
        </is>
      </c>
      <c r="C37" s="17" t="n">
        <v>21303316</v>
      </c>
      <c r="D37" s="17" t="n">
        <v>20200000</v>
      </c>
      <c r="E37" s="17" t="n">
        <v>20967559</v>
      </c>
      <c r="F37" s="17" t="n">
        <v>21849267</v>
      </c>
      <c r="G37" s="17" t="n">
        <v>22511258</v>
      </c>
      <c r="H37" s="17" t="n">
        <v>23192931</v>
      </c>
    </row>
    <row r="38">
      <c r="A38" t="inlineStr">
        <is>
          <t>Free cash, known (adopted budget, or the Town plan)</t>
        </is>
      </c>
      <c r="B38" s="20" t="inlineStr">
        <is>
          <t>FY2027 adopted; FY2026 Town plan</t>
        </is>
      </c>
      <c r="C38" s="17" t="n">
        <v>21303316</v>
      </c>
      <c r="D38" s="17" t="n">
        <v>18280805</v>
      </c>
    </row>
    <row r="40">
      <c r="A40" s="2" t="inlineStr">
        <is>
          <t>Choices for the settings</t>
        </is>
      </c>
    </row>
    <row r="41">
      <c r="A41" s="27" t="inlineStr">
        <is>
          <t>Setting</t>
        </is>
      </c>
      <c r="C41" s="27" t="inlineStr">
        <is>
          <t>Choice</t>
        </is>
      </c>
      <c r="D41" s="27" t="inlineStr">
        <is>
          <t>How the model reads it</t>
        </is>
      </c>
    </row>
    <row r="42">
      <c r="A42" t="inlineStr">
        <is>
          <t>opeb</t>
        </is>
      </c>
      <c r="C42" t="inlineStr">
        <is>
          <t>Moved to retiree health (OPEB), the Town's plan; once it's paid off, held for a decision</t>
        </is>
      </c>
      <c r="D42" t="inlineStr">
        <is>
          <t>redirect</t>
        </is>
      </c>
    </row>
    <row r="43">
      <c r="C43" t="inlineStr">
        <is>
          <t>Moved to retiree health (OPEB); once it's paid off, counted as room</t>
        </is>
      </c>
      <c r="D43" t="inlineStr">
        <is>
          <t>spend</t>
        </is>
      </c>
    </row>
    <row r="44">
      <c r="C44" t="inlineStr">
        <is>
          <t>Kept in the budget as room</t>
        </is>
      </c>
      <c r="D44" t="inlineStr">
        <is>
          <t>keep</t>
        </is>
      </c>
    </row>
    <row r="45">
      <c r="A45" t="inlineStr">
        <is>
          <t>staffing</t>
        </is>
      </c>
      <c r="C45" t="inlineStr">
        <is>
          <t>Fall half as fast as enrollment, as in FY2019 to FY2025</t>
        </is>
      </c>
      <c r="D45" t="inlineStr">
        <is>
          <t>half</t>
        </is>
      </c>
    </row>
    <row r="46">
      <c r="C46" t="inlineStr">
        <is>
          <t>Held at the FY2027 level</t>
        </is>
      </c>
      <c r="D46" t="inlineStr">
        <is>
          <t>keep</t>
        </is>
      </c>
    </row>
    <row r="47">
      <c r="C47" t="inlineStr">
        <is>
          <t>Follow enrollment, students per staff held</t>
        </is>
      </c>
      <c r="D47" t="inlineStr">
        <is>
          <t>hold</t>
        </is>
      </c>
    </row>
    <row r="48">
      <c r="C48" t="inlineStr">
        <is>
          <t>Follow enrollment, students per staff a third back to FY2019</t>
        </is>
      </c>
      <c r="D48" t="inlineStr">
        <is>
          <t>partial</t>
        </is>
      </c>
    </row>
    <row r="49">
      <c r="A49" t="inlineStr">
        <is>
          <t>mix</t>
        </is>
      </c>
      <c r="C49" t="inlineStr">
        <is>
          <t>Today's mix</t>
        </is>
      </c>
      <c r="D49" t="inlineStr">
        <is>
          <t>mix</t>
        </is>
      </c>
    </row>
    <row r="50">
      <c r="C50" t="inlineStr">
        <is>
          <t>New homes</t>
        </is>
      </c>
      <c r="D50" t="inlineStr">
        <is>
          <t>housing</t>
        </is>
      </c>
    </row>
    <row r="51">
      <c r="C51" t="inlineStr">
        <is>
          <t>New commercial space</t>
        </is>
      </c>
      <c r="D51" t="inlineStr">
        <is>
          <t>commercial</t>
        </is>
      </c>
    </row>
    <row r="52">
      <c r="C52" t="inlineStr">
        <is>
          <t>Half homes, half commercial</t>
        </is>
      </c>
      <c r="D52" t="inlineStr">
        <is>
          <t>even</t>
        </is>
      </c>
    </row>
    <row r="53">
      <c r="A53" t="inlineStr">
        <is>
          <t>homes</t>
        </is>
      </c>
      <c r="C53" t="inlineStr">
        <is>
          <t>As expected</t>
        </is>
      </c>
      <c r="D53" t="inlineStr">
        <is>
          <t>all</t>
        </is>
      </c>
    </row>
    <row r="54">
      <c r="C54" t="inlineStr">
        <is>
          <t>Half as many</t>
        </is>
      </c>
      <c r="D54" t="inlineStr">
        <is>
          <t>half</t>
        </is>
      </c>
    </row>
    <row r="55">
      <c r="C55" t="inlineStr">
        <is>
          <t>None: renovation and commercial growth only</t>
        </is>
      </c>
      <c r="D55" t="inlineStr">
        <is>
          <t>none</t>
        </is>
      </c>
    </row>
    <row r="56">
      <c r="A56" t="inlineStr">
        <is>
          <t>fill</t>
        </is>
      </c>
      <c r="C56" t="inlineStr">
        <is>
          <t>Each brings new staff at today's ratio</t>
        </is>
      </c>
      <c r="D56" t="inlineStr">
        <is>
          <t>staff</t>
        </is>
      </c>
    </row>
    <row r="57">
      <c r="C57" t="inlineStr">
        <is>
          <t>Fill seats left open as enrollment falls</t>
        </is>
      </c>
      <c r="D57" t="inlineStr">
        <is>
          <t>fill</t>
        </is>
      </c>
    </row>
    <row r="58">
      <c r="A58" t="inlineStr">
        <is>
          <t>enroll</t>
        </is>
      </c>
      <c r="C58" t="inlineStr">
        <is>
          <t>NESDEC (declines)</t>
        </is>
      </c>
      <c r="D58" t="inlineStr">
        <is>
          <t>nesdec</t>
        </is>
      </c>
    </row>
    <row r="59">
      <c r="C59" t="inlineStr">
        <is>
          <t>Flat at FY2027</t>
        </is>
      </c>
      <c r="D59" t="inlineStr">
        <is>
          <t>flat</t>
        </is>
      </c>
    </row>
    <row r="60">
      <c r="C60" t="inlineStr">
        <is>
          <t>Cropper-McKibben, the schools' forecast (rises)</t>
        </is>
      </c>
      <c r="D60" t="inlineStr">
        <is>
          <t>cm</t>
        </is>
      </c>
    </row>
    <row r="61">
      <c r="A61" t="inlineStr">
        <is>
          <t>capital</t>
        </is>
      </c>
      <c r="C61" t="inlineStr">
        <is>
          <t>The 6.6% policy, from FY2028</t>
        </is>
      </c>
      <c r="D61" t="inlineStr">
        <is>
          <t>full</t>
        </is>
      </c>
    </row>
    <row r="62">
      <c r="C62" t="inlineStr">
        <is>
          <t>Held at the Town's six-year table, about 6%</t>
        </is>
      </c>
      <c r="D62" t="inlineStr">
        <is>
          <t>table</t>
        </is>
      </c>
    </row>
    <row r="63">
      <c r="A63" t="inlineStr">
        <is>
          <t>chca</t>
        </is>
      </c>
      <c r="C63" t="inlineStr">
        <is>
          <t>Approved program, Town Meeting May 2026</t>
        </is>
      </c>
      <c r="D63" t="inlineStr">
        <is>
          <t>approved</t>
        </is>
      </c>
    </row>
    <row r="64">
      <c r="C64" t="inlineStr">
        <is>
          <t>City Realty's average estimate</t>
        </is>
      </c>
      <c r="D64" t="inlineStr">
        <is>
          <t>cr_avg</t>
        </is>
      </c>
    </row>
    <row r="65">
      <c r="C65" t="inlineStr">
        <is>
          <t>RKG's estimate</t>
        </is>
      </c>
      <c r="D65" t="inlineStr">
        <is>
          <t>rkg</t>
        </is>
      </c>
    </row>
    <row r="66">
      <c r="C66" t="inlineStr">
        <is>
          <t>Already inside trend growth</t>
        </is>
      </c>
      <c r="D66" t="inlineStr">
        <is>
          <t>in_trend</t>
        </is>
      </c>
    </row>
    <row r="67">
      <c r="A67" t="inlineStr">
        <is>
          <t>ps_staff</t>
        </is>
      </c>
      <c r="C67" t="inlineStr">
        <is>
          <t>FY2027 budget, plus a fire company at about 31,200 homes</t>
        </is>
      </c>
      <c r="D67" t="inlineStr">
        <is>
          <t>budget</t>
        </is>
      </c>
    </row>
    <row r="68">
      <c r="C68" t="inlineStr">
        <is>
          <t>FY2027 budget and the fire company, with police growing with homes</t>
        </is>
      </c>
      <c r="D68" t="inlineStr">
        <is>
          <t>police</t>
        </is>
      </c>
    </row>
    <row r="69">
      <c r="C69" t="inlineStr">
        <is>
          <t>Restored to earlier levels, police 136 and fire 168, plus the company</t>
        </is>
      </c>
      <c r="D69" t="inlineStr">
        <is>
          <t>restore</t>
        </is>
      </c>
    </row>
    <row r="70">
      <c r="C70" t="inlineStr">
        <is>
          <t>FY2027 budget, no added fire company</t>
        </is>
      </c>
      <c r="D70" t="inlineStr">
        <is>
          <t>none</t>
        </is>
      </c>
    </row>
    <row r="71">
      <c r="A71" t="inlineStr">
        <is>
          <t>ng2728</t>
        </is>
      </c>
      <c r="C71" t="inlineStr">
        <is>
          <t>The recent trend (the base case)</t>
        </is>
      </c>
      <c r="D71" t="inlineStr">
        <is>
          <t>trend</t>
        </is>
      </c>
    </row>
    <row r="72">
      <c r="C72" t="inlineStr">
        <is>
          <t>What the 2024 and 2025 permits point to</t>
        </is>
      </c>
      <c r="D72" t="inlineStr">
        <is>
          <t>permits</t>
        </is>
      </c>
    </row>
    <row r="73">
      <c r="C73" t="inlineStr">
        <is>
          <t>Permits, low end of past rates</t>
        </is>
      </c>
      <c r="D73" t="inlineStr">
        <is>
          <t>permits_low</t>
        </is>
      </c>
    </row>
    <row r="74">
      <c r="C74" t="inlineStr">
        <is>
          <t>Permits, high end of past rates</t>
        </is>
      </c>
      <c r="D74" t="inlineStr">
        <is>
          <t>permits_high</t>
        </is>
      </c>
    </row>
    <row r="75">
      <c r="A75" t="inlineStr">
        <is>
          <t>slip</t>
        </is>
      </c>
      <c r="C75" t="inlineStr">
        <is>
          <t>On schedule, FY2030</t>
        </is>
      </c>
      <c r="D75" t="n">
        <v>0</v>
      </c>
    </row>
    <row r="76">
      <c r="C76" t="inlineStr">
        <is>
          <t>One year late</t>
        </is>
      </c>
      <c r="D76" t="n">
        <v>1</v>
      </c>
    </row>
    <row r="77">
      <c r="C77" t="inlineStr">
        <is>
          <t>Two years late</t>
        </is>
      </c>
      <c r="D77" t="n">
        <v>2</v>
      </c>
    </row>
    <row r="78">
      <c r="C78" t="inlineStr">
        <is>
          <t>Three years late</t>
        </is>
      </c>
      <c r="D78" t="n">
        <v>3</v>
      </c>
    </row>
  </sheetData>
  <mergeCells count="1">
    <mergeCell ref="A2:Q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cols>
    <col width="40" customWidth="1" min="1" max="1"/>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Checks against the Forecast Explorer</t>
        </is>
      </c>
    </row>
    <row r="2" ht="48" customHeight="1">
      <c r="A2" s="4" t="inlineStr">
        <is>
          <t>The Explorer's own engine, run for the base case, beside this workbook's Forecast sheet. With every setting at its base case the gaps should all be within $5 a year; red marks a larger gap. If you change a setting, the gaps will show the effect of your change instead.</t>
        </is>
      </c>
    </row>
    <row r="4">
      <c r="D4" s="28" t="n">
        <v>2027</v>
      </c>
      <c r="E4" s="28" t="n">
        <v>2028</v>
      </c>
      <c r="F4" s="28" t="n">
        <v>2029</v>
      </c>
      <c r="G4" s="28" t="n">
        <v>2030</v>
      </c>
      <c r="H4" s="28" t="n">
        <v>2031</v>
      </c>
      <c r="I4" s="28" t="n">
        <v>2032</v>
      </c>
      <c r="J4" s="28" t="n">
        <v>2033</v>
      </c>
      <c r="K4" s="28" t="n">
        <v>2034</v>
      </c>
      <c r="L4" s="28" t="n">
        <v>2035</v>
      </c>
      <c r="M4" s="28" t="n">
        <v>2036</v>
      </c>
      <c r="N4" s="28" t="n">
        <v>2037</v>
      </c>
      <c r="O4" s="28" t="n">
        <v>2038</v>
      </c>
      <c r="P4" s="28" t="n">
        <v>2039</v>
      </c>
      <c r="Q4" s="28" t="n">
        <v>2040</v>
      </c>
    </row>
    <row r="5">
      <c r="A5" t="inlineStr">
        <is>
          <t>Explorer engine: total revenue</t>
        </is>
      </c>
      <c r="D5" s="17" t="n">
        <v>415288675</v>
      </c>
      <c r="E5" s="17" t="n">
        <v>428537853.6991575</v>
      </c>
      <c r="F5" s="17" t="n">
        <v>448986780.6104215</v>
      </c>
      <c r="G5" s="17" t="n">
        <v>468333587.0569239</v>
      </c>
      <c r="H5" s="17" t="n">
        <v>482807715.533908</v>
      </c>
      <c r="I5" s="17" t="n">
        <v>501678232.0945135</v>
      </c>
      <c r="J5" s="17" t="n">
        <v>521215263.7402579</v>
      </c>
      <c r="K5" s="17" t="n">
        <v>541665839.5366172</v>
      </c>
      <c r="L5" s="17" t="n">
        <v>560774354.8623298</v>
      </c>
      <c r="M5" s="17" t="n">
        <v>580549492.2795817</v>
      </c>
      <c r="N5" s="17" t="n">
        <v>600939650.0068392</v>
      </c>
      <c r="O5" s="17" t="n">
        <v>622068559.6057308</v>
      </c>
      <c r="P5" s="17" t="n">
        <v>643970227.0799108</v>
      </c>
      <c r="Q5" s="17" t="n">
        <v>666673457.7396591</v>
      </c>
    </row>
    <row r="6">
      <c r="A6" t="inlineStr">
        <is>
          <t>Explorer engine: total spending</t>
        </is>
      </c>
      <c r="D6" s="17" t="n">
        <v>415288675</v>
      </c>
      <c r="E6" s="17" t="n">
        <v>427785092.9212101</v>
      </c>
      <c r="F6" s="17" t="n">
        <v>444453292.7886616</v>
      </c>
      <c r="G6" s="17" t="n">
        <v>459556356.8897406</v>
      </c>
      <c r="H6" s="17" t="n">
        <v>474794900.714273</v>
      </c>
      <c r="I6" s="17" t="n">
        <v>491229312.362376</v>
      </c>
      <c r="J6" s="17" t="n">
        <v>508230447.8544747</v>
      </c>
      <c r="K6" s="17" t="n">
        <v>526003799.1208189</v>
      </c>
      <c r="L6" s="17" t="n">
        <v>544544067.530622</v>
      </c>
      <c r="M6" s="17" t="n">
        <v>563679219.6624836</v>
      </c>
      <c r="N6" s="17" t="n">
        <v>584262295.5055369</v>
      </c>
      <c r="O6" s="17" t="n">
        <v>605449549.2012711</v>
      </c>
      <c r="P6" s="17" t="n">
        <v>629460359.1873735</v>
      </c>
      <c r="Q6" s="17" t="n">
        <v>654708804.3399982</v>
      </c>
    </row>
    <row r="7">
      <c r="A7" t="inlineStr">
        <is>
          <t>Explorer engine: room</t>
        </is>
      </c>
      <c r="D7" s="17" t="n">
        <v>0</v>
      </c>
      <c r="E7" s="17" t="n">
        <v>752760.7779473662</v>
      </c>
      <c r="F7" s="17" t="n">
        <v>4533487.82175988</v>
      </c>
      <c r="G7" s="17" t="n">
        <v>8777230.16718334</v>
      </c>
      <c r="H7" s="17" t="n">
        <v>8012814.819635034</v>
      </c>
      <c r="I7" s="17" t="n">
        <v>10448919.73213756</v>
      </c>
      <c r="J7" s="17" t="n">
        <v>12984815.88578314</v>
      </c>
      <c r="K7" s="17" t="n">
        <v>15662040.41579831</v>
      </c>
      <c r="L7" s="17" t="n">
        <v>16230287.33170784</v>
      </c>
      <c r="M7" s="17" t="n">
        <v>16870272.61709809</v>
      </c>
      <c r="N7" s="17" t="n">
        <v>16677354.50130224</v>
      </c>
      <c r="O7" s="17" t="n">
        <v>16619010.40445971</v>
      </c>
      <c r="P7" s="17" t="n">
        <v>14509867.89253724</v>
      </c>
      <c r="Q7" s="17" t="n">
        <v>11964653.39966083</v>
      </c>
    </row>
    <row r="9">
      <c r="A9" s="27" t="inlineStr">
        <is>
          <t>Gap: total revenue</t>
        </is>
      </c>
      <c r="D9" s="65">
        <f>Forecast!D13-D5</f>
        <v/>
      </c>
      <c r="E9" s="65">
        <f>Forecast!E13-E5</f>
        <v/>
      </c>
      <c r="F9" s="65">
        <f>Forecast!F13-F5</f>
        <v/>
      </c>
      <c r="G9" s="65">
        <f>Forecast!G13-G5</f>
        <v/>
      </c>
      <c r="H9" s="65">
        <f>Forecast!H13-H5</f>
        <v/>
      </c>
      <c r="I9" s="65">
        <f>Forecast!I13-I5</f>
        <v/>
      </c>
      <c r="J9" s="65">
        <f>Forecast!J13-J5</f>
        <v/>
      </c>
      <c r="K9" s="65">
        <f>Forecast!K13-K5</f>
        <v/>
      </c>
      <c r="L9" s="65">
        <f>Forecast!L13-L5</f>
        <v/>
      </c>
      <c r="M9" s="65">
        <f>Forecast!M13-M5</f>
        <v/>
      </c>
      <c r="N9" s="65">
        <f>Forecast!N13-N5</f>
        <v/>
      </c>
      <c r="O9" s="65">
        <f>Forecast!O13-O5</f>
        <v/>
      </c>
      <c r="P9" s="65">
        <f>Forecast!P13-P5</f>
        <v/>
      </c>
      <c r="Q9" s="65">
        <f>Forecast!Q13-Q5</f>
        <v/>
      </c>
    </row>
    <row r="10">
      <c r="A10" s="27" t="inlineStr">
        <is>
          <t>Gap: total spending</t>
        </is>
      </c>
      <c r="D10" s="65">
        <f>Forecast!D26-D6</f>
        <v/>
      </c>
      <c r="E10" s="65">
        <f>Forecast!E26-E6</f>
        <v/>
      </c>
      <c r="F10" s="65">
        <f>Forecast!F26-F6</f>
        <v/>
      </c>
      <c r="G10" s="65">
        <f>Forecast!G26-G6</f>
        <v/>
      </c>
      <c r="H10" s="65">
        <f>Forecast!H26-H6</f>
        <v/>
      </c>
      <c r="I10" s="65">
        <f>Forecast!I26-I6</f>
        <v/>
      </c>
      <c r="J10" s="65">
        <f>Forecast!J26-J6</f>
        <v/>
      </c>
      <c r="K10" s="65">
        <f>Forecast!K26-K6</f>
        <v/>
      </c>
      <c r="L10" s="65">
        <f>Forecast!L26-L6</f>
        <v/>
      </c>
      <c r="M10" s="65">
        <f>Forecast!M26-M6</f>
        <v/>
      </c>
      <c r="N10" s="65">
        <f>Forecast!N26-N6</f>
        <v/>
      </c>
      <c r="O10" s="65">
        <f>Forecast!O26-O6</f>
        <v/>
      </c>
      <c r="P10" s="65">
        <f>Forecast!P26-P6</f>
        <v/>
      </c>
      <c r="Q10" s="65">
        <f>Forecast!Q26-Q6</f>
        <v/>
      </c>
    </row>
    <row r="11">
      <c r="A11" s="27" t="inlineStr">
        <is>
          <t>Gap: room</t>
        </is>
      </c>
      <c r="D11" s="65">
        <f>Forecast!D29-D7</f>
        <v/>
      </c>
      <c r="E11" s="65">
        <f>Forecast!E29-E7</f>
        <v/>
      </c>
      <c r="F11" s="65">
        <f>Forecast!F29-F7</f>
        <v/>
      </c>
      <c r="G11" s="65">
        <f>Forecast!G29-G7</f>
        <v/>
      </c>
      <c r="H11" s="65">
        <f>Forecast!H29-H7</f>
        <v/>
      </c>
      <c r="I11" s="65">
        <f>Forecast!I29-I7</f>
        <v/>
      </c>
      <c r="J11" s="65">
        <f>Forecast!J29-J7</f>
        <v/>
      </c>
      <c r="K11" s="65">
        <f>Forecast!K29-K7</f>
        <v/>
      </c>
      <c r="L11" s="65">
        <f>Forecast!L29-L7</f>
        <v/>
      </c>
      <c r="M11" s="65">
        <f>Forecast!M29-M7</f>
        <v/>
      </c>
      <c r="N11" s="65">
        <f>Forecast!N29-N7</f>
        <v/>
      </c>
      <c r="O11" s="65">
        <f>Forecast!O29-O7</f>
        <v/>
      </c>
      <c r="P11" s="65">
        <f>Forecast!P29-P7</f>
        <v/>
      </c>
      <c r="Q11" s="65">
        <f>Forecast!Q29-Q7</f>
        <v/>
      </c>
    </row>
    <row r="13">
      <c r="A13" s="27" t="inlineStr">
        <is>
          <t>Largest gap, any year</t>
        </is>
      </c>
      <c r="C13" s="58">
        <f>MAX(MAX(D9:Q11),-MIN(D9:Q11))</f>
        <v/>
      </c>
    </row>
  </sheetData>
  <mergeCells count="1">
    <mergeCell ref="A2:Q2"/>
  </mergeCells>
  <conditionalFormatting sqref="D9:Q11">
    <cfRule type="expression" priority="1" dxfId="1">
      <formula>ABS(D9)&gt;5</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4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2" customWidth="1" min="1" max="1"/>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s>
  <sheetData>
    <row r="1" ht="26" customHeight="1">
      <c r="A1" s="66" t="inlineStr">
        <is>
          <t>Appendix: history, FY2005 to FY2025</t>
        </is>
      </c>
    </row>
    <row r="2"/>
    <row r="3" ht="48" customHeight="1">
      <c r="A3" s="67" t="inlineStr">
        <is>
          <t>History, not forecast: Massachusetts Division of Local Services Schedule A, Department of Revenue recap data and the Town's audited financial statements, FY2005 to FY2025. The cohort split at the bottom is the one calculated section: it follows property that existed in FY2005 separately from new growth since.</t>
        </is>
      </c>
    </row>
    <row r="4"/>
    <row r="5">
      <c r="A5" s="68" t="inlineStr">
        <is>
          <t>Property Tax Levy Mechanics (Prop 2½)</t>
        </is>
      </c>
    </row>
    <row r="6">
      <c r="A6" s="69" t="inlineStr">
        <is>
          <t>Line item</t>
        </is>
      </c>
      <c r="C6" s="70" t="inlineStr">
        <is>
          <t>FY2005</t>
        </is>
      </c>
      <c r="D6" s="70" t="inlineStr">
        <is>
          <t>FY2006</t>
        </is>
      </c>
      <c r="E6" s="70" t="inlineStr">
        <is>
          <t>FY2007</t>
        </is>
      </c>
      <c r="F6" s="70" t="inlineStr">
        <is>
          <t>FY2008</t>
        </is>
      </c>
      <c r="G6" s="70" t="inlineStr">
        <is>
          <t>FY2009</t>
        </is>
      </c>
      <c r="H6" s="70" t="inlineStr">
        <is>
          <t>FY2010</t>
        </is>
      </c>
      <c r="I6" s="70" t="inlineStr">
        <is>
          <t>FY2011</t>
        </is>
      </c>
      <c r="J6" s="70" t="inlineStr">
        <is>
          <t>FY2012</t>
        </is>
      </c>
      <c r="K6" s="70" t="inlineStr">
        <is>
          <t>FY2013</t>
        </is>
      </c>
      <c r="L6" s="70" t="inlineStr">
        <is>
          <t>FY2014</t>
        </is>
      </c>
      <c r="M6" s="70" t="inlineStr">
        <is>
          <t>FY2015</t>
        </is>
      </c>
      <c r="N6" s="70" t="inlineStr">
        <is>
          <t>FY2016</t>
        </is>
      </c>
      <c r="O6" s="70" t="inlineStr">
        <is>
          <t>FY2017</t>
        </is>
      </c>
      <c r="P6" s="70" t="inlineStr">
        <is>
          <t>FY2018</t>
        </is>
      </c>
      <c r="Q6" s="70" t="inlineStr">
        <is>
          <t>FY2019</t>
        </is>
      </c>
      <c r="R6" s="70" t="inlineStr">
        <is>
          <t>FY2020</t>
        </is>
      </c>
      <c r="S6" s="70" t="inlineStr">
        <is>
          <t>FY2021</t>
        </is>
      </c>
      <c r="T6" s="70" t="inlineStr">
        <is>
          <t>FY2022</t>
        </is>
      </c>
      <c r="U6" s="70" t="inlineStr">
        <is>
          <t>FY2023</t>
        </is>
      </c>
      <c r="V6" s="70" t="inlineStr">
        <is>
          <t>FY2024</t>
        </is>
      </c>
      <c r="W6" s="70" t="inlineStr">
        <is>
          <t>FY2025</t>
        </is>
      </c>
    </row>
    <row r="7">
      <c r="A7" s="71" t="inlineStr">
        <is>
          <t>Prior year levy limit</t>
        </is>
      </c>
      <c r="C7" s="72" t="n">
        <v>112976154</v>
      </c>
      <c r="D7" s="72" t="n">
        <v>118188364</v>
      </c>
      <c r="E7" s="72" t="n">
        <v>123389202</v>
      </c>
      <c r="F7" s="72" t="n">
        <v>128463616</v>
      </c>
      <c r="G7" s="72" t="n">
        <v>134259886</v>
      </c>
      <c r="H7" s="72" t="n">
        <v>145644644</v>
      </c>
      <c r="I7" s="72" t="n">
        <v>151047972</v>
      </c>
      <c r="J7" s="72" t="n">
        <v>156653255</v>
      </c>
      <c r="K7" s="72" t="n">
        <v>162553810</v>
      </c>
      <c r="L7" s="72" t="n">
        <v>168537757</v>
      </c>
      <c r="M7" s="72" t="n">
        <v>174686609</v>
      </c>
      <c r="N7" s="72" t="n">
        <v>181154340</v>
      </c>
      <c r="O7" s="72" t="n">
        <v>195438924</v>
      </c>
      <c r="P7" s="72" t="n">
        <v>203036517</v>
      </c>
      <c r="Q7" s="72" t="n">
        <v>210376535</v>
      </c>
      <c r="R7" s="72" t="n">
        <v>224812701</v>
      </c>
      <c r="S7" s="72" t="n">
        <v>233198737</v>
      </c>
      <c r="T7" s="72" t="n">
        <v>242349097</v>
      </c>
      <c r="U7" s="72" t="n">
        <v>251866661</v>
      </c>
      <c r="V7" s="72" t="n">
        <v>260823641</v>
      </c>
      <c r="W7" s="72" t="n">
        <v>282862062</v>
      </c>
    </row>
    <row r="8">
      <c r="A8" s="71" t="inlineStr">
        <is>
          <t>2.5% statutory increase</t>
        </is>
      </c>
      <c r="C8" s="72" t="n">
        <v>2824404</v>
      </c>
      <c r="D8" s="72" t="n">
        <v>2954709</v>
      </c>
      <c r="E8" s="72" t="n">
        <v>3084730</v>
      </c>
      <c r="F8" s="72" t="n">
        <v>3211590</v>
      </c>
      <c r="G8" s="72" t="n">
        <v>3356497</v>
      </c>
      <c r="H8" s="72" t="n">
        <v>3641116</v>
      </c>
      <c r="I8" s="72" t="n">
        <v>3776199</v>
      </c>
      <c r="J8" s="72" t="n">
        <v>3916331</v>
      </c>
      <c r="K8" s="72" t="n">
        <v>4063845</v>
      </c>
      <c r="L8" s="72" t="n">
        <v>4213444</v>
      </c>
      <c r="M8" s="72" t="n">
        <v>4367165</v>
      </c>
      <c r="N8" s="72" t="n">
        <v>4528858</v>
      </c>
      <c r="O8" s="72" t="n">
        <v>4885973</v>
      </c>
      <c r="P8" s="72" t="n">
        <v>5075913</v>
      </c>
      <c r="Q8" s="72" t="n">
        <v>5259413</v>
      </c>
      <c r="R8" s="72" t="n">
        <v>5620318</v>
      </c>
      <c r="S8" s="72" t="n">
        <v>5829968</v>
      </c>
      <c r="T8" s="72" t="n">
        <v>6058727</v>
      </c>
      <c r="U8" s="72" t="n">
        <v>6296667</v>
      </c>
      <c r="V8" s="72" t="n">
        <v>6520591</v>
      </c>
      <c r="W8" s="72" t="n">
        <v>7071552</v>
      </c>
    </row>
    <row r="9">
      <c r="A9" s="71" t="inlineStr">
        <is>
          <t>New growth ($)</t>
        </is>
      </c>
      <c r="C9" s="72" t="n">
        <v>2386251</v>
      </c>
      <c r="D9" s="72" t="n">
        <v>2232945</v>
      </c>
      <c r="E9" s="72" t="n">
        <v>1989683</v>
      </c>
      <c r="F9" s="72" t="n">
        <v>2584680</v>
      </c>
      <c r="G9" s="72" t="n">
        <v>1828261</v>
      </c>
      <c r="H9" s="72" t="n">
        <v>1762212</v>
      </c>
      <c r="I9" s="72" t="n">
        <v>1829084</v>
      </c>
      <c r="J9" s="72" t="n">
        <v>1984224</v>
      </c>
      <c r="K9" s="72" t="n">
        <v>1920101</v>
      </c>
      <c r="L9" s="72" t="n">
        <v>1935408</v>
      </c>
      <c r="M9" s="72" t="n">
        <v>2100566</v>
      </c>
      <c r="N9" s="72" t="n">
        <v>2090726</v>
      </c>
      <c r="O9" s="72" t="n">
        <v>2711620</v>
      </c>
      <c r="P9" s="72" t="n">
        <v>2264017</v>
      </c>
      <c r="Q9" s="72" t="n">
        <v>2601328</v>
      </c>
      <c r="R9" s="72" t="n">
        <v>2765718</v>
      </c>
      <c r="S9" s="72" t="n">
        <v>3320392</v>
      </c>
      <c r="T9" s="72" t="n">
        <v>3458837</v>
      </c>
      <c r="U9" s="72" t="n">
        <v>2660313</v>
      </c>
      <c r="V9" s="72" t="n">
        <v>3534463</v>
      </c>
      <c r="W9" s="72" t="n">
        <v>3178133</v>
      </c>
    </row>
    <row r="10">
      <c r="A10" s="71" t="inlineStr">
        <is>
          <t>Override (voter-approved, this year)</t>
        </is>
      </c>
      <c r="C10" s="72" t="n">
        <v>0</v>
      </c>
      <c r="D10" s="72" t="n">
        <v>0</v>
      </c>
      <c r="E10" s="72" t="n">
        <v>0</v>
      </c>
      <c r="F10" s="72" t="n">
        <v>0</v>
      </c>
      <c r="G10" s="72" t="n">
        <v>6200000</v>
      </c>
      <c r="H10" s="72" t="n">
        <v>0</v>
      </c>
      <c r="I10" s="72" t="n">
        <v>0</v>
      </c>
      <c r="J10" s="72" t="n">
        <v>0</v>
      </c>
      <c r="K10" s="72" t="n">
        <v>0</v>
      </c>
      <c r="L10" s="72" t="n">
        <v>0</v>
      </c>
      <c r="M10" s="72" t="n">
        <v>0</v>
      </c>
      <c r="N10" s="72" t="n">
        <v>7665000</v>
      </c>
      <c r="O10" s="72" t="n">
        <v>0</v>
      </c>
      <c r="P10" s="72" t="n">
        <v>0</v>
      </c>
      <c r="Q10" s="72" t="n">
        <v>6575425</v>
      </c>
      <c r="R10" s="72" t="n">
        <v>0</v>
      </c>
      <c r="S10" s="72" t="n">
        <v>0</v>
      </c>
      <c r="T10" s="72" t="n">
        <v>0</v>
      </c>
      <c r="U10" s="72" t="n">
        <v>0</v>
      </c>
      <c r="V10" s="72" t="n">
        <v>11983367</v>
      </c>
      <c r="W10" s="72" t="n">
        <v>0</v>
      </c>
    </row>
    <row r="11">
      <c r="A11" s="71" t="inlineStr">
        <is>
          <t>Debt exclusion revenue</t>
        </is>
      </c>
      <c r="C11" s="72" t="n">
        <v>1676384</v>
      </c>
      <c r="D11" s="72" t="n">
        <v>1648735</v>
      </c>
      <c r="E11" s="72" t="n">
        <v>1614854</v>
      </c>
      <c r="F11" s="72" t="n">
        <v>1568947</v>
      </c>
      <c r="G11" s="72" t="n">
        <v>1692697</v>
      </c>
      <c r="H11" s="72" t="n">
        <v>1667074</v>
      </c>
      <c r="I11" s="72" t="n">
        <v>1258944</v>
      </c>
      <c r="J11" s="72" t="n">
        <v>1090408</v>
      </c>
      <c r="K11" s="72" t="n">
        <v>1630808</v>
      </c>
      <c r="L11" s="72" t="n">
        <v>1112800</v>
      </c>
      <c r="M11" s="72" t="n">
        <v>1094400</v>
      </c>
      <c r="N11" s="72" t="n">
        <v>1076000</v>
      </c>
      <c r="O11" s="72" t="n">
        <v>1048400</v>
      </c>
      <c r="P11" s="72" t="n">
        <v>1020800</v>
      </c>
      <c r="Q11" s="72" t="n">
        <v>3408089</v>
      </c>
      <c r="R11" s="72" t="n">
        <v>5700171</v>
      </c>
      <c r="S11" s="72" t="n">
        <v>13369914</v>
      </c>
      <c r="T11" s="72" t="n">
        <v>20258192</v>
      </c>
      <c r="U11" s="72" t="n">
        <v>20555634</v>
      </c>
      <c r="V11" s="72" t="n">
        <v>20554161</v>
      </c>
      <c r="W11" s="72" t="n">
        <v>22012492</v>
      </c>
    </row>
    <row r="12">
      <c r="A12" s="71" t="inlineStr">
        <is>
          <t>Excess capacity (allowed but not raised)</t>
        </is>
      </c>
      <c r="C12" s="72" t="n">
        <v>-11147</v>
      </c>
      <c r="D12" s="72" t="n">
        <v>-9914</v>
      </c>
      <c r="E12" s="72" t="n">
        <v>-1935</v>
      </c>
      <c r="F12" s="72" t="n">
        <v>-16932</v>
      </c>
      <c r="G12" s="72" t="n">
        <v>-64273</v>
      </c>
      <c r="H12" s="72" t="n">
        <v>-33048</v>
      </c>
      <c r="I12" s="72" t="n">
        <v>-33912</v>
      </c>
      <c r="J12" s="72" t="n">
        <v>-23729</v>
      </c>
      <c r="K12" s="72" t="n">
        <v>-30953</v>
      </c>
      <c r="L12" s="72" t="n">
        <v>-15507</v>
      </c>
      <c r="M12" s="72" t="n">
        <v>-9443</v>
      </c>
      <c r="N12" s="72" t="n">
        <v>-1465000</v>
      </c>
      <c r="O12" s="72" t="n">
        <v>-20718</v>
      </c>
      <c r="P12" s="72" t="n">
        <v>-22759</v>
      </c>
      <c r="Q12" s="72" t="n">
        <v>-3730221</v>
      </c>
      <c r="R12" s="72" t="n">
        <v>-411164</v>
      </c>
      <c r="S12" s="72" t="n">
        <v>0</v>
      </c>
      <c r="T12" s="72" t="n">
        <v>0</v>
      </c>
      <c r="U12" s="72" t="n">
        <v>0</v>
      </c>
      <c r="V12" s="72" t="n">
        <v>-5442663</v>
      </c>
      <c r="W12" s="72" t="n">
        <v>-2555866</v>
      </c>
    </row>
    <row r="13">
      <c r="A13" s="73" t="inlineStr">
        <is>
          <t>TOTAL LEVY (property tax raised)</t>
        </is>
      </c>
      <c r="C13" s="72">
        <f>SUM(C7:C12)</f>
        <v/>
      </c>
      <c r="D13" s="72">
        <f>SUM(D7:D12)</f>
        <v/>
      </c>
      <c r="E13" s="72">
        <f>SUM(E7:E12)</f>
        <v/>
      </c>
      <c r="F13" s="72">
        <f>SUM(F7:F12)</f>
        <v/>
      </c>
      <c r="G13" s="72">
        <f>SUM(G7:G12)</f>
        <v/>
      </c>
      <c r="H13" s="72">
        <f>SUM(H7:H12)</f>
        <v/>
      </c>
      <c r="I13" s="72">
        <f>SUM(I7:I12)</f>
        <v/>
      </c>
      <c r="J13" s="72">
        <f>SUM(J7:J12)</f>
        <v/>
      </c>
      <c r="K13" s="72">
        <f>SUM(K7:K12)</f>
        <v/>
      </c>
      <c r="L13" s="72">
        <f>SUM(L7:L12)</f>
        <v/>
      </c>
      <c r="M13" s="72">
        <f>SUM(M7:M12)</f>
        <v/>
      </c>
      <c r="N13" s="72">
        <f>SUM(N7:N12)</f>
        <v/>
      </c>
      <c r="O13" s="72">
        <f>SUM(O7:O12)</f>
        <v/>
      </c>
      <c r="P13" s="72">
        <f>SUM(P7:P12)</f>
        <v/>
      </c>
      <c r="Q13" s="72">
        <f>SUM(Q7:Q12)</f>
        <v/>
      </c>
      <c r="R13" s="72">
        <f>SUM(R7:R12)</f>
        <v/>
      </c>
      <c r="S13" s="72">
        <f>SUM(S7:S12)</f>
        <v/>
      </c>
      <c r="T13" s="72">
        <f>SUM(T7:T12)</f>
        <v/>
      </c>
      <c r="U13" s="72">
        <f>SUM(U7:U12)</f>
        <v/>
      </c>
      <c r="V13" s="72">
        <f>SUM(V7:V12)</f>
        <v/>
      </c>
      <c r="W13" s="72">
        <f>SUM(W7:W12)</f>
        <v/>
      </c>
    </row>
    <row r="14"/>
    <row r="15">
      <c r="A15" s="68" t="inlineStr">
        <is>
          <t>Revenue</t>
        </is>
      </c>
    </row>
    <row r="16">
      <c r="A16" s="71" t="inlineStr">
        <is>
          <t>State aid</t>
        </is>
      </c>
      <c r="C16" s="72" t="n">
        <v>17094030</v>
      </c>
      <c r="D16" s="72" t="n">
        <v>18027706</v>
      </c>
      <c r="E16" s="72" t="n">
        <v>18021104</v>
      </c>
      <c r="F16" s="72" t="n">
        <v>18973131</v>
      </c>
      <c r="G16" s="72" t="n">
        <v>19623724</v>
      </c>
      <c r="H16" s="72" t="n">
        <v>16536492</v>
      </c>
      <c r="I16" s="72" t="n">
        <v>13796542</v>
      </c>
      <c r="J16" s="72" t="n">
        <v>13383563</v>
      </c>
      <c r="K16" s="72" t="n">
        <v>15131276</v>
      </c>
      <c r="L16" s="72" t="n">
        <v>16659162</v>
      </c>
      <c r="M16" s="72" t="n">
        <v>17634875</v>
      </c>
      <c r="N16" s="72" t="n">
        <v>18837306</v>
      </c>
      <c r="O16" s="72" t="n">
        <v>19657251</v>
      </c>
      <c r="P16" s="72" t="n">
        <v>20352973</v>
      </c>
      <c r="Q16" s="72" t="n">
        <v>22112765</v>
      </c>
      <c r="R16" s="72" t="n">
        <v>22386947</v>
      </c>
      <c r="S16" s="72" t="n">
        <v>22388437</v>
      </c>
      <c r="T16" s="72" t="n">
        <v>22825559</v>
      </c>
      <c r="U16" s="72" t="n">
        <v>23230992</v>
      </c>
      <c r="V16" s="72" t="n">
        <v>23970474</v>
      </c>
      <c r="W16" s="72" t="n">
        <v>24973542</v>
      </c>
    </row>
    <row r="17">
      <c r="A17" s="71" t="inlineStr">
        <is>
          <t>Local receipts (actual)</t>
        </is>
      </c>
      <c r="O17" s="72" t="n">
        <v>29013746</v>
      </c>
      <c r="P17" s="72" t="n">
        <v>36696432</v>
      </c>
      <c r="Q17" s="72" t="n">
        <v>36314826</v>
      </c>
      <c r="R17" s="72" t="n">
        <v>37330419</v>
      </c>
      <c r="S17" s="72" t="n">
        <v>30743773</v>
      </c>
      <c r="T17" s="72" t="n">
        <v>36998699</v>
      </c>
      <c r="U17" s="72" t="n">
        <v>41208035</v>
      </c>
      <c r="V17" s="72" t="n">
        <v>45191956</v>
      </c>
      <c r="W17" s="72" t="n">
        <v>44398178</v>
      </c>
    </row>
    <row r="18">
      <c r="A18" s="71" t="inlineStr">
        <is>
          <t>Total General Fund revenue</t>
        </is>
      </c>
      <c r="C18" s="72" t="n">
        <v>167934717</v>
      </c>
      <c r="D18" s="72" t="n">
        <v>168890619</v>
      </c>
      <c r="E18" s="72" t="n">
        <v>178383652</v>
      </c>
      <c r="F18" s="72" t="n">
        <v>185803513</v>
      </c>
      <c r="G18" s="72" t="n">
        <v>192482479</v>
      </c>
      <c r="H18" s="72" t="n">
        <v>195166931</v>
      </c>
      <c r="I18" s="72" t="n">
        <v>197401346</v>
      </c>
      <c r="J18" s="72" t="n">
        <v>212032653</v>
      </c>
      <c r="K18" s="72" t="n">
        <v>225013338</v>
      </c>
      <c r="L18" s="72" t="n">
        <v>223722368</v>
      </c>
      <c r="M18" s="72" t="n">
        <v>231276828</v>
      </c>
      <c r="N18" s="72" t="n">
        <v>249427185</v>
      </c>
      <c r="O18" s="72" t="n">
        <v>259094788</v>
      </c>
      <c r="P18" s="72" t="n">
        <v>269899635</v>
      </c>
      <c r="Q18" s="72" t="n">
        <v>285287238</v>
      </c>
      <c r="R18" s="72" t="n">
        <v>297528480</v>
      </c>
      <c r="S18" s="72" t="n">
        <v>310021983</v>
      </c>
      <c r="T18" s="72" t="n">
        <v>339419364</v>
      </c>
      <c r="U18" s="72" t="n">
        <v>350331838</v>
      </c>
      <c r="V18" s="72" t="n">
        <v>367822295</v>
      </c>
      <c r="W18" s="72" t="n">
        <v>389982477</v>
      </c>
    </row>
    <row r="19"/>
    <row r="20">
      <c r="A20" s="68" t="inlineStr">
        <is>
          <t>Expense (Schedule A functional categories)</t>
        </is>
      </c>
    </row>
    <row r="21">
      <c r="A21" s="71" t="inlineStr">
        <is>
          <t>Departmental (Town, ex-schools)</t>
        </is>
      </c>
      <c r="C21" s="72" t="n">
        <v>59461219</v>
      </c>
      <c r="D21" s="72" t="n">
        <v>59190778</v>
      </c>
      <c r="E21" s="72" t="n">
        <v>61102930</v>
      </c>
      <c r="F21" s="72" t="n">
        <v>59656754</v>
      </c>
      <c r="G21" s="72" t="n">
        <v>63080051</v>
      </c>
      <c r="H21" s="72" t="n">
        <v>54924068</v>
      </c>
      <c r="I21" s="72" t="n">
        <v>57232651</v>
      </c>
      <c r="J21" s="72" t="n">
        <v>56896873</v>
      </c>
      <c r="K21" s="72" t="n">
        <v>58922081</v>
      </c>
      <c r="L21" s="72" t="n">
        <v>60216818</v>
      </c>
      <c r="M21" s="72" t="n">
        <v>63183806</v>
      </c>
      <c r="N21" s="72" t="n">
        <v>62645774</v>
      </c>
      <c r="O21" s="72" t="n">
        <v>65822838</v>
      </c>
      <c r="P21" s="72" t="n">
        <v>66704605</v>
      </c>
      <c r="Q21" s="72" t="n">
        <v>70022982</v>
      </c>
      <c r="R21" s="72" t="n">
        <v>70330725</v>
      </c>
      <c r="S21" s="72" t="n">
        <v>71125754</v>
      </c>
      <c r="T21" s="72" t="n">
        <v>73256548</v>
      </c>
      <c r="U21" s="72" t="n">
        <v>74280338</v>
      </c>
      <c r="V21" s="72" t="n">
        <v>79621627</v>
      </c>
      <c r="W21" s="72" t="n">
        <v>84622614</v>
      </c>
    </row>
    <row r="22">
      <c r="A22" s="71" t="inlineStr">
        <is>
          <t>Schools (education)</t>
        </is>
      </c>
      <c r="C22" s="72" t="n">
        <v>60438282</v>
      </c>
      <c r="D22" s="72" t="n">
        <v>62851151</v>
      </c>
      <c r="E22" s="72" t="n">
        <v>65126712</v>
      </c>
      <c r="F22" s="72" t="n">
        <v>68709239</v>
      </c>
      <c r="G22" s="72" t="n">
        <v>73794431</v>
      </c>
      <c r="H22" s="72" t="n">
        <v>74506548</v>
      </c>
      <c r="I22" s="72" t="n">
        <v>77435614</v>
      </c>
      <c r="J22" s="72" t="n">
        <v>80636512</v>
      </c>
      <c r="K22" s="72" t="n">
        <v>83991890</v>
      </c>
      <c r="L22" s="72" t="n">
        <v>87479926</v>
      </c>
      <c r="M22" s="72" t="n">
        <v>91894719</v>
      </c>
      <c r="N22" s="72" t="n">
        <v>101064924</v>
      </c>
      <c r="O22" s="72" t="n">
        <v>106968328</v>
      </c>
      <c r="P22" s="72" t="n">
        <v>110623908</v>
      </c>
      <c r="Q22" s="72" t="n">
        <v>116389275</v>
      </c>
      <c r="R22" s="72" t="n">
        <v>123764357</v>
      </c>
      <c r="S22" s="72" t="n">
        <v>126667840</v>
      </c>
      <c r="T22" s="72" t="n">
        <v>128842776</v>
      </c>
      <c r="U22" s="72" t="n">
        <v>130884869</v>
      </c>
      <c r="V22" s="72" t="n">
        <v>140247931</v>
      </c>
      <c r="W22" s="72" t="n">
        <v>146446110</v>
      </c>
    </row>
    <row r="23">
      <c r="A23" s="71" t="inlineStr">
        <is>
          <t>Benefits (fixed_costs: pensions, health, OPEB)</t>
        </is>
      </c>
      <c r="C23" s="72" t="n">
        <v>30467373</v>
      </c>
      <c r="D23" s="72" t="n">
        <v>29290151</v>
      </c>
      <c r="E23" s="72" t="n">
        <v>32545112</v>
      </c>
      <c r="F23" s="72" t="n">
        <v>34761771</v>
      </c>
      <c r="G23" s="72" t="n">
        <v>35997394</v>
      </c>
      <c r="H23" s="72" t="n">
        <v>39478782</v>
      </c>
      <c r="I23" s="72" t="n">
        <v>37512887</v>
      </c>
      <c r="J23" s="72" t="n">
        <v>54074007</v>
      </c>
      <c r="K23" s="72" t="n">
        <v>45542506</v>
      </c>
      <c r="L23" s="72" t="n">
        <v>50186015</v>
      </c>
      <c r="M23" s="72" t="n">
        <v>50885262</v>
      </c>
      <c r="N23" s="72" t="n">
        <v>54609787</v>
      </c>
      <c r="O23" s="72" t="n">
        <v>56010566</v>
      </c>
      <c r="P23" s="72" t="n">
        <v>60824387</v>
      </c>
      <c r="Q23" s="72" t="n">
        <v>61594549</v>
      </c>
      <c r="R23" s="72" t="n">
        <v>65533832</v>
      </c>
      <c r="S23" s="72" t="n">
        <v>68065399</v>
      </c>
      <c r="T23" s="72" t="n">
        <v>72160184</v>
      </c>
      <c r="U23" s="72" t="n">
        <v>77360296</v>
      </c>
      <c r="V23" s="72" t="n">
        <v>80309607</v>
      </c>
      <c r="W23" s="72" t="n">
        <v>89361296</v>
      </c>
    </row>
    <row r="24">
      <c r="A24" s="71" t="inlineStr">
        <is>
          <t>Debt service (total)</t>
        </is>
      </c>
      <c r="C24" s="72" t="n">
        <v>13247416</v>
      </c>
      <c r="D24" s="72" t="n">
        <v>13831466</v>
      </c>
      <c r="E24" s="72" t="n">
        <v>14268142</v>
      </c>
      <c r="F24" s="72" t="n">
        <v>13824443</v>
      </c>
      <c r="G24" s="72" t="n">
        <v>12290160</v>
      </c>
      <c r="H24" s="72" t="n">
        <v>11886156</v>
      </c>
      <c r="I24" s="72" t="n">
        <v>9491021</v>
      </c>
      <c r="J24" s="72" t="n">
        <v>15662064</v>
      </c>
      <c r="K24" s="72" t="n">
        <v>16549607</v>
      </c>
      <c r="L24" s="72" t="n">
        <v>9304648</v>
      </c>
      <c r="M24" s="72" t="n">
        <v>9403333</v>
      </c>
      <c r="N24" s="72" t="n">
        <v>9276014</v>
      </c>
      <c r="O24" s="72" t="n">
        <v>10255514</v>
      </c>
      <c r="P24" s="72" t="n">
        <v>12577453</v>
      </c>
      <c r="Q24" s="72" t="n">
        <v>15631274</v>
      </c>
      <c r="R24" s="72" t="n">
        <v>17976346</v>
      </c>
      <c r="S24" s="72" t="n">
        <v>25056165</v>
      </c>
      <c r="T24" s="72" t="n">
        <v>34262603</v>
      </c>
      <c r="U24" s="72" t="n">
        <v>35445846</v>
      </c>
      <c r="V24" s="72" t="n">
        <v>35718059</v>
      </c>
      <c r="W24" s="72" t="n">
        <v>36286410</v>
      </c>
    </row>
    <row r="25">
      <c r="A25" s="71" t="inlineStr">
        <is>
          <t>Other (residual)</t>
        </is>
      </c>
      <c r="C25" s="72" t="n">
        <v>5352984</v>
      </c>
      <c r="D25" s="72" t="n">
        <v>5084477</v>
      </c>
      <c r="E25" s="72" t="n">
        <v>5483250</v>
      </c>
      <c r="F25" s="72" t="n">
        <v>9764729</v>
      </c>
      <c r="G25" s="72" t="n">
        <v>5493891</v>
      </c>
      <c r="H25" s="72" t="n">
        <v>5559230</v>
      </c>
      <c r="I25" s="72" t="n">
        <v>5576032</v>
      </c>
      <c r="J25" s="72" t="n">
        <v>5654190</v>
      </c>
      <c r="K25" s="72" t="n">
        <v>6105553</v>
      </c>
      <c r="L25" s="72" t="n">
        <v>6196321</v>
      </c>
      <c r="M25" s="72" t="n">
        <v>6221857</v>
      </c>
      <c r="N25" s="72" t="n">
        <v>6283848</v>
      </c>
      <c r="O25" s="72" t="n">
        <v>6423591</v>
      </c>
      <c r="P25" s="72" t="n">
        <v>6480817</v>
      </c>
      <c r="Q25" s="72" t="n">
        <v>6656579</v>
      </c>
      <c r="R25" s="72" t="n">
        <v>6845405</v>
      </c>
      <c r="S25" s="72" t="n">
        <v>6844100</v>
      </c>
      <c r="T25" s="72" t="n">
        <v>6844019</v>
      </c>
      <c r="U25" s="72" t="n">
        <v>7295058</v>
      </c>
      <c r="V25" s="72" t="n">
        <v>7529086</v>
      </c>
      <c r="W25" s="72" t="n">
        <v>7959725</v>
      </c>
    </row>
    <row r="26">
      <c r="A26" s="73" t="inlineStr">
        <is>
          <t>TOTAL EXPENDITURE</t>
        </is>
      </c>
      <c r="C26" s="72">
        <f>SUM(C21:C25)</f>
        <v/>
      </c>
      <c r="D26" s="72">
        <f>SUM(D21:D25)</f>
        <v/>
      </c>
      <c r="E26" s="72">
        <f>SUM(E21:E25)</f>
        <v/>
      </c>
      <c r="F26" s="72">
        <f>SUM(F21:F25)</f>
        <v/>
      </c>
      <c r="G26" s="72">
        <f>SUM(G21:G25)</f>
        <v/>
      </c>
      <c r="H26" s="72">
        <f>SUM(H21:H25)</f>
        <v/>
      </c>
      <c r="I26" s="72">
        <f>SUM(I21:I25)</f>
        <v/>
      </c>
      <c r="J26" s="72">
        <f>SUM(J21:J25)</f>
        <v/>
      </c>
      <c r="K26" s="72">
        <f>SUM(K21:K25)</f>
        <v/>
      </c>
      <c r="L26" s="72">
        <f>SUM(L21:L25)</f>
        <v/>
      </c>
      <c r="M26" s="72">
        <f>SUM(M21:M25)</f>
        <v/>
      </c>
      <c r="N26" s="72">
        <f>SUM(N21:N25)</f>
        <v/>
      </c>
      <c r="O26" s="72">
        <f>SUM(O21:O25)</f>
        <v/>
      </c>
      <c r="P26" s="72">
        <f>SUM(P21:P25)</f>
        <v/>
      </c>
      <c r="Q26" s="72">
        <f>SUM(Q21:Q25)</f>
        <v/>
      </c>
      <c r="R26" s="72">
        <f>SUM(R21:R25)</f>
        <v/>
      </c>
      <c r="S26" s="72">
        <f>SUM(S21:S25)</f>
        <v/>
      </c>
      <c r="T26" s="72">
        <f>SUM(T21:T25)</f>
        <v/>
      </c>
      <c r="U26" s="72">
        <f>SUM(U21:U25)</f>
        <v/>
      </c>
      <c r="V26" s="72">
        <f>SUM(V21:V25)</f>
        <v/>
      </c>
      <c r="W26" s="72">
        <f>SUM(W21:W25)</f>
        <v/>
      </c>
    </row>
    <row r="27"/>
    <row r="28"/>
    <row r="29">
      <c r="A29" s="68" t="inlineStr">
        <is>
          <t>Existing (pre-2005) vs. New Property Cohort - live model</t>
        </is>
      </c>
    </row>
    <row r="30" ht="42" customHeight="1">
      <c r="A30" s="67" t="inlineStr">
        <is>
          <t>Property that existed in FY2005 is followed separately from the new growth added each year after; both grow 2.5% a year plus their share of that year's override, debt exclusion and unused levy capacity. FY2005 is 100% existing property.</t>
        </is>
      </c>
    </row>
    <row r="31">
      <c r="A31" s="73" t="inlineStr">
        <is>
          <t>Existing: allowed levy limit</t>
        </is>
      </c>
      <c r="C31" s="72">
        <f>C7+C8+C9+C10</f>
        <v/>
      </c>
      <c r="D31" s="72">
        <f>(C31*1.025)+D10*D39</f>
        <v/>
      </c>
      <c r="E31" s="72">
        <f>(D31*1.025)+E10*E39</f>
        <v/>
      </c>
      <c r="F31" s="72">
        <f>(E31*1.025)+F10*F39</f>
        <v/>
      </c>
      <c r="G31" s="72">
        <f>(F31*1.025)+G10*G39</f>
        <v/>
      </c>
      <c r="H31" s="72">
        <f>(G31*1.025)+H10*H39</f>
        <v/>
      </c>
      <c r="I31" s="72">
        <f>(H31*1.025)+I10*I39</f>
        <v/>
      </c>
      <c r="J31" s="72">
        <f>(I31*1.025)+J10*J39</f>
        <v/>
      </c>
      <c r="K31" s="72">
        <f>(J31*1.025)+K10*K39</f>
        <v/>
      </c>
      <c r="L31" s="72">
        <f>(K31*1.025)+L10*L39</f>
        <v/>
      </c>
      <c r="M31" s="72">
        <f>(L31*1.025)+M10*M39</f>
        <v/>
      </c>
      <c r="N31" s="72">
        <f>(M31*1.025)+N10*N39</f>
        <v/>
      </c>
      <c r="O31" s="72">
        <f>(N31*1.025)+O10*O39</f>
        <v/>
      </c>
      <c r="P31" s="72">
        <f>(O31*1.025)+P10*P39</f>
        <v/>
      </c>
      <c r="Q31" s="72">
        <f>(P31*1.025)+Q10*Q39</f>
        <v/>
      </c>
      <c r="R31" s="72">
        <f>(Q31*1.025)+R10*R39</f>
        <v/>
      </c>
      <c r="S31" s="72">
        <f>(R31*1.025)+S10*S39</f>
        <v/>
      </c>
      <c r="T31" s="72">
        <f>(S31*1.025)+T10*T39</f>
        <v/>
      </c>
      <c r="U31" s="72">
        <f>(T31*1.025)+U10*U39</f>
        <v/>
      </c>
      <c r="V31" s="72">
        <f>(U31*1.025)+V10*V39</f>
        <v/>
      </c>
      <c r="W31" s="72">
        <f>(V31*1.025)+W10*W39</f>
        <v/>
      </c>
    </row>
    <row r="32">
      <c r="A32" s="74" t="inlineStr">
        <is>
          <t>Existing: excess-capacity share</t>
        </is>
      </c>
      <c r="C32" s="72">
        <f>C12</f>
        <v/>
      </c>
      <c r="D32" s="72">
        <f>D12*D39</f>
        <v/>
      </c>
      <c r="E32" s="72">
        <f>E12*E39</f>
        <v/>
      </c>
      <c r="F32" s="72">
        <f>F12*F39</f>
        <v/>
      </c>
      <c r="G32" s="72">
        <f>G12*G39</f>
        <v/>
      </c>
      <c r="H32" s="72">
        <f>H12*H39</f>
        <v/>
      </c>
      <c r="I32" s="72">
        <f>I12*I39</f>
        <v/>
      </c>
      <c r="J32" s="72">
        <f>J12*J39</f>
        <v/>
      </c>
      <c r="K32" s="72">
        <f>K12*K39</f>
        <v/>
      </c>
      <c r="L32" s="72">
        <f>L12*L39</f>
        <v/>
      </c>
      <c r="M32" s="72">
        <f>M12*M39</f>
        <v/>
      </c>
      <c r="N32" s="72">
        <f>N12*N39</f>
        <v/>
      </c>
      <c r="O32" s="72">
        <f>O12*O39</f>
        <v/>
      </c>
      <c r="P32" s="72">
        <f>P12*P39</f>
        <v/>
      </c>
      <c r="Q32" s="72">
        <f>Q12*Q39</f>
        <v/>
      </c>
      <c r="R32" s="72">
        <f>R12*R39</f>
        <v/>
      </c>
      <c r="S32" s="72">
        <f>S12*S39</f>
        <v/>
      </c>
      <c r="T32" s="72">
        <f>T12*T39</f>
        <v/>
      </c>
      <c r="U32" s="72">
        <f>U12*U39</f>
        <v/>
      </c>
      <c r="V32" s="72">
        <f>V12*V39</f>
        <v/>
      </c>
      <c r="W32" s="72">
        <f>W12*W39</f>
        <v/>
      </c>
    </row>
    <row r="33">
      <c r="A33" s="74" t="inlineStr">
        <is>
          <t>Existing: debt-exclusion share</t>
        </is>
      </c>
      <c r="C33" s="72">
        <f>C11</f>
        <v/>
      </c>
      <c r="D33" s="72">
        <f>D11*D39</f>
        <v/>
      </c>
      <c r="E33" s="72">
        <f>E11*E39</f>
        <v/>
      </c>
      <c r="F33" s="72">
        <f>F11*F39</f>
        <v/>
      </c>
      <c r="G33" s="72">
        <f>G11*G39</f>
        <v/>
      </c>
      <c r="H33" s="72">
        <f>H11*H39</f>
        <v/>
      </c>
      <c r="I33" s="72">
        <f>I11*I39</f>
        <v/>
      </c>
      <c r="J33" s="72">
        <f>J11*J39</f>
        <v/>
      </c>
      <c r="K33" s="72">
        <f>K11*K39</f>
        <v/>
      </c>
      <c r="L33" s="72">
        <f>L11*L39</f>
        <v/>
      </c>
      <c r="M33" s="72">
        <f>M11*M39</f>
        <v/>
      </c>
      <c r="N33" s="72">
        <f>N11*N39</f>
        <v/>
      </c>
      <c r="O33" s="72">
        <f>O11*O39</f>
        <v/>
      </c>
      <c r="P33" s="72">
        <f>P11*P39</f>
        <v/>
      </c>
      <c r="Q33" s="72">
        <f>Q11*Q39</f>
        <v/>
      </c>
      <c r="R33" s="72">
        <f>R11*R39</f>
        <v/>
      </c>
      <c r="S33" s="72">
        <f>S11*S39</f>
        <v/>
      </c>
      <c r="T33" s="72">
        <f>T11*T39</f>
        <v/>
      </c>
      <c r="U33" s="72">
        <f>U11*U39</f>
        <v/>
      </c>
      <c r="V33" s="72">
        <f>V11*V39</f>
        <v/>
      </c>
      <c r="W33" s="72">
        <f>W11*W39</f>
        <v/>
      </c>
    </row>
    <row r="34">
      <c r="A34" s="73" t="inlineStr">
        <is>
          <t>Existing: TOTAL TAX</t>
        </is>
      </c>
      <c r="C34" s="72">
        <f>SUM(C31,C32,C33)</f>
        <v/>
      </c>
      <c r="D34" s="72">
        <f>SUM(D31,D32,D33)</f>
        <v/>
      </c>
      <c r="E34" s="72">
        <f>SUM(E31,E32,E33)</f>
        <v/>
      </c>
      <c r="F34" s="72">
        <f>SUM(F31,F32,F33)</f>
        <v/>
      </c>
      <c r="G34" s="72">
        <f>SUM(G31,G32,G33)</f>
        <v/>
      </c>
      <c r="H34" s="72">
        <f>SUM(H31,H32,H33)</f>
        <v/>
      </c>
      <c r="I34" s="72">
        <f>SUM(I31,I32,I33)</f>
        <v/>
      </c>
      <c r="J34" s="72">
        <f>SUM(J31,J32,J33)</f>
        <v/>
      </c>
      <c r="K34" s="72">
        <f>SUM(K31,K32,K33)</f>
        <v/>
      </c>
      <c r="L34" s="72">
        <f>SUM(L31,L32,L33)</f>
        <v/>
      </c>
      <c r="M34" s="72">
        <f>SUM(M31,M32,M33)</f>
        <v/>
      </c>
      <c r="N34" s="72">
        <f>SUM(N31,N32,N33)</f>
        <v/>
      </c>
      <c r="O34" s="72">
        <f>SUM(O31,O32,O33)</f>
        <v/>
      </c>
      <c r="P34" s="72">
        <f>SUM(P31,P32,P33)</f>
        <v/>
      </c>
      <c r="Q34" s="72">
        <f>SUM(Q31,Q32,Q33)</f>
        <v/>
      </c>
      <c r="R34" s="72">
        <f>SUM(R31,R32,R33)</f>
        <v/>
      </c>
      <c r="S34" s="72">
        <f>SUM(S31,S32,S33)</f>
        <v/>
      </c>
      <c r="T34" s="72">
        <f>SUM(T31,T32,T33)</f>
        <v/>
      </c>
      <c r="U34" s="72">
        <f>SUM(U31,U32,U33)</f>
        <v/>
      </c>
      <c r="V34" s="72">
        <f>SUM(V31,V32,V33)</f>
        <v/>
      </c>
      <c r="W34" s="72">
        <f>SUM(W31,W32,W33)</f>
        <v/>
      </c>
    </row>
    <row r="35">
      <c r="A35" s="73" t="inlineStr">
        <is>
          <t>New: allowed levy limit</t>
        </is>
      </c>
      <c r="C35" s="72" t="n">
        <v>0</v>
      </c>
      <c r="D35" s="72">
        <f>(C35*1.025+D9)+D10*(1-D39)</f>
        <v/>
      </c>
      <c r="E35" s="72">
        <f>(D35*1.025+E9)+E10*(1-E39)</f>
        <v/>
      </c>
      <c r="F35" s="72">
        <f>(E35*1.025+F9)+F10*(1-F39)</f>
        <v/>
      </c>
      <c r="G35" s="72">
        <f>(F35*1.025+G9)+G10*(1-G39)</f>
        <v/>
      </c>
      <c r="H35" s="72">
        <f>(G35*1.025+H9)+H10*(1-H39)</f>
        <v/>
      </c>
      <c r="I35" s="72">
        <f>(H35*1.025+I9)+I10*(1-I39)</f>
        <v/>
      </c>
      <c r="J35" s="72">
        <f>(I35*1.025+J9)+J10*(1-J39)</f>
        <v/>
      </c>
      <c r="K35" s="72">
        <f>(J35*1.025+K9)+K10*(1-K39)</f>
        <v/>
      </c>
      <c r="L35" s="72">
        <f>(K35*1.025+L9)+L10*(1-L39)</f>
        <v/>
      </c>
      <c r="M35" s="72">
        <f>(L35*1.025+M9)+M10*(1-M39)</f>
        <v/>
      </c>
      <c r="N35" s="72">
        <f>(M35*1.025+N9)+N10*(1-N39)</f>
        <v/>
      </c>
      <c r="O35" s="72">
        <f>(N35*1.025+O9)+O10*(1-O39)</f>
        <v/>
      </c>
      <c r="P35" s="72">
        <f>(O35*1.025+P9)+P10*(1-P39)</f>
        <v/>
      </c>
      <c r="Q35" s="72">
        <f>(P35*1.025+Q9)+Q10*(1-Q39)</f>
        <v/>
      </c>
      <c r="R35" s="72">
        <f>(Q35*1.025+R9)+R10*(1-R39)</f>
        <v/>
      </c>
      <c r="S35" s="72">
        <f>(R35*1.025+S9)+S10*(1-S39)</f>
        <v/>
      </c>
      <c r="T35" s="72">
        <f>(S35*1.025+T9)+T10*(1-T39)</f>
        <v/>
      </c>
      <c r="U35" s="72">
        <f>(T35*1.025+U9)+U10*(1-U39)</f>
        <v/>
      </c>
      <c r="V35" s="72">
        <f>(U35*1.025+V9)+V10*(1-V39)</f>
        <v/>
      </c>
      <c r="W35" s="72">
        <f>(V35*1.025+W9)+W10*(1-W39)</f>
        <v/>
      </c>
    </row>
    <row r="36">
      <c r="A36" s="74" t="inlineStr">
        <is>
          <t>New: excess-capacity share</t>
        </is>
      </c>
      <c r="C36" s="72" t="n">
        <v>0</v>
      </c>
      <c r="D36" s="72">
        <f>D12*(1-D39)</f>
        <v/>
      </c>
      <c r="E36" s="72">
        <f>E12*(1-E39)</f>
        <v/>
      </c>
      <c r="F36" s="72">
        <f>F12*(1-F39)</f>
        <v/>
      </c>
      <c r="G36" s="72">
        <f>G12*(1-G39)</f>
        <v/>
      </c>
      <c r="H36" s="72">
        <f>H12*(1-H39)</f>
        <v/>
      </c>
      <c r="I36" s="72">
        <f>I12*(1-I39)</f>
        <v/>
      </c>
      <c r="J36" s="72">
        <f>J12*(1-J39)</f>
        <v/>
      </c>
      <c r="K36" s="72">
        <f>K12*(1-K39)</f>
        <v/>
      </c>
      <c r="L36" s="72">
        <f>L12*(1-L39)</f>
        <v/>
      </c>
      <c r="M36" s="72">
        <f>M12*(1-M39)</f>
        <v/>
      </c>
      <c r="N36" s="72">
        <f>N12*(1-N39)</f>
        <v/>
      </c>
      <c r="O36" s="72">
        <f>O12*(1-O39)</f>
        <v/>
      </c>
      <c r="P36" s="72">
        <f>P12*(1-P39)</f>
        <v/>
      </c>
      <c r="Q36" s="72">
        <f>Q12*(1-Q39)</f>
        <v/>
      </c>
      <c r="R36" s="72">
        <f>R12*(1-R39)</f>
        <v/>
      </c>
      <c r="S36" s="72">
        <f>S12*(1-S39)</f>
        <v/>
      </c>
      <c r="T36" s="72">
        <f>T12*(1-T39)</f>
        <v/>
      </c>
      <c r="U36" s="72">
        <f>U12*(1-U39)</f>
        <v/>
      </c>
      <c r="V36" s="72">
        <f>V12*(1-V39)</f>
        <v/>
      </c>
      <c r="W36" s="72">
        <f>W12*(1-W39)</f>
        <v/>
      </c>
    </row>
    <row r="37">
      <c r="A37" s="74" t="inlineStr">
        <is>
          <t>New: debt-exclusion share</t>
        </is>
      </c>
      <c r="C37" s="72" t="n">
        <v>0</v>
      </c>
      <c r="D37" s="72">
        <f>D11*(1-D39)</f>
        <v/>
      </c>
      <c r="E37" s="72">
        <f>E11*(1-E39)</f>
        <v/>
      </c>
      <c r="F37" s="72">
        <f>F11*(1-F39)</f>
        <v/>
      </c>
      <c r="G37" s="72">
        <f>G11*(1-G39)</f>
        <v/>
      </c>
      <c r="H37" s="72">
        <f>H11*(1-H39)</f>
        <v/>
      </c>
      <c r="I37" s="72">
        <f>I11*(1-I39)</f>
        <v/>
      </c>
      <c r="J37" s="72">
        <f>J11*(1-J39)</f>
        <v/>
      </c>
      <c r="K37" s="72">
        <f>K11*(1-K39)</f>
        <v/>
      </c>
      <c r="L37" s="72">
        <f>L11*(1-L39)</f>
        <v/>
      </c>
      <c r="M37" s="72">
        <f>M11*(1-M39)</f>
        <v/>
      </c>
      <c r="N37" s="72">
        <f>N11*(1-N39)</f>
        <v/>
      </c>
      <c r="O37" s="72">
        <f>O11*(1-O39)</f>
        <v/>
      </c>
      <c r="P37" s="72">
        <f>P11*(1-P39)</f>
        <v/>
      </c>
      <c r="Q37" s="72">
        <f>Q11*(1-Q39)</f>
        <v/>
      </c>
      <c r="R37" s="72">
        <f>R11*(1-R39)</f>
        <v/>
      </c>
      <c r="S37" s="72">
        <f>S11*(1-S39)</f>
        <v/>
      </c>
      <c r="T37" s="72">
        <f>T11*(1-T39)</f>
        <v/>
      </c>
      <c r="U37" s="72">
        <f>U11*(1-U39)</f>
        <v/>
      </c>
      <c r="V37" s="72">
        <f>V11*(1-V39)</f>
        <v/>
      </c>
      <c r="W37" s="72">
        <f>W11*(1-W39)</f>
        <v/>
      </c>
    </row>
    <row r="38">
      <c r="A38" s="73" t="inlineStr">
        <is>
          <t>New: TOTAL TAX</t>
        </is>
      </c>
      <c r="C38" s="72">
        <f>SUM(C35,C36,C37)</f>
        <v/>
      </c>
      <c r="D38" s="72">
        <f>SUM(D35,D36,D37)</f>
        <v/>
      </c>
      <c r="E38" s="72">
        <f>SUM(E35,E36,E37)</f>
        <v/>
      </c>
      <c r="F38" s="72">
        <f>SUM(F35,F36,F37)</f>
        <v/>
      </c>
      <c r="G38" s="72">
        <f>SUM(G35,G36,G37)</f>
        <v/>
      </c>
      <c r="H38" s="72">
        <f>SUM(H35,H36,H37)</f>
        <v/>
      </c>
      <c r="I38" s="72">
        <f>SUM(I35,I36,I37)</f>
        <v/>
      </c>
      <c r="J38" s="72">
        <f>SUM(J35,J36,J37)</f>
        <v/>
      </c>
      <c r="K38" s="72">
        <f>SUM(K35,K36,K37)</f>
        <v/>
      </c>
      <c r="L38" s="72">
        <f>SUM(L35,L36,L37)</f>
        <v/>
      </c>
      <c r="M38" s="72">
        <f>SUM(M35,M36,M37)</f>
        <v/>
      </c>
      <c r="N38" s="72">
        <f>SUM(N35,N36,N37)</f>
        <v/>
      </c>
      <c r="O38" s="72">
        <f>SUM(O35,O36,O37)</f>
        <v/>
      </c>
      <c r="P38" s="72">
        <f>SUM(P35,P36,P37)</f>
        <v/>
      </c>
      <c r="Q38" s="72">
        <f>SUM(Q35,Q36,Q37)</f>
        <v/>
      </c>
      <c r="R38" s="72">
        <f>SUM(R35,R36,R37)</f>
        <v/>
      </c>
      <c r="S38" s="72">
        <f>SUM(S35,S36,S37)</f>
        <v/>
      </c>
      <c r="T38" s="72">
        <f>SUM(T35,T36,T37)</f>
        <v/>
      </c>
      <c r="U38" s="72">
        <f>SUM(U35,U36,U37)</f>
        <v/>
      </c>
      <c r="V38" s="72">
        <f>SUM(V35,V36,V37)</f>
        <v/>
      </c>
      <c r="W38" s="72">
        <f>SUM(W35,W36,W37)</f>
        <v/>
      </c>
    </row>
    <row r="39">
      <c r="A39" s="74" t="inlineStr">
        <is>
          <t>Existing share of pre-item total (helper)</t>
        </is>
      </c>
      <c r="C39" t="n">
        <v>1</v>
      </c>
      <c r="D39">
        <f>(C31*1.025)/((C31*1.025)+(C35*1.025+D9))</f>
        <v/>
      </c>
      <c r="E39">
        <f>(D31*1.025)/((D31*1.025)+(D35*1.025+E9))</f>
        <v/>
      </c>
      <c r="F39">
        <f>(E31*1.025)/((E31*1.025)+(E35*1.025+F9))</f>
        <v/>
      </c>
      <c r="G39">
        <f>(F31*1.025)/((F31*1.025)+(F35*1.025+G9))</f>
        <v/>
      </c>
      <c r="H39">
        <f>(G31*1.025)/((G31*1.025)+(G35*1.025+H9))</f>
        <v/>
      </c>
      <c r="I39">
        <f>(H31*1.025)/((H31*1.025)+(H35*1.025+I9))</f>
        <v/>
      </c>
      <c r="J39">
        <f>(I31*1.025)/((I31*1.025)+(I35*1.025+J9))</f>
        <v/>
      </c>
      <c r="K39">
        <f>(J31*1.025)/((J31*1.025)+(J35*1.025+K9))</f>
        <v/>
      </c>
      <c r="L39">
        <f>(K31*1.025)/((K31*1.025)+(K35*1.025+L9))</f>
        <v/>
      </c>
      <c r="M39">
        <f>(L31*1.025)/((L31*1.025)+(L35*1.025+M9))</f>
        <v/>
      </c>
      <c r="N39">
        <f>(M31*1.025)/((M31*1.025)+(M35*1.025+N9))</f>
        <v/>
      </c>
      <c r="O39">
        <f>(N31*1.025)/((N31*1.025)+(N35*1.025+O9))</f>
        <v/>
      </c>
      <c r="P39">
        <f>(O31*1.025)/((O31*1.025)+(O35*1.025+P9))</f>
        <v/>
      </c>
      <c r="Q39">
        <f>(P31*1.025)/((P31*1.025)+(P35*1.025+Q9))</f>
        <v/>
      </c>
      <c r="R39">
        <f>(Q31*1.025)/((Q31*1.025)+(Q35*1.025+R9))</f>
        <v/>
      </c>
      <c r="S39">
        <f>(R31*1.025)/((R31*1.025)+(R35*1.025+S9))</f>
        <v/>
      </c>
      <c r="T39">
        <f>(S31*1.025)/((S31*1.025)+(S35*1.025+T9))</f>
        <v/>
      </c>
      <c r="U39">
        <f>(T31*1.025)/((T31*1.025)+(T35*1.025+U9))</f>
        <v/>
      </c>
      <c r="V39">
        <f>(U31*1.025)/((U31*1.025)+(U35*1.025+V9))</f>
        <v/>
      </c>
      <c r="W39">
        <f>(V31*1.025)/((V31*1.025)+(V35*1.025+W9))</f>
        <v/>
      </c>
    </row>
    <row r="40">
      <c r="A40" s="74" t="inlineStr">
        <is>
          <t>Check: existing+new vs. total levy (should be $0)</t>
        </is>
      </c>
      <c r="C40" s="72">
        <f>C34+C38-C13</f>
        <v/>
      </c>
      <c r="D40" s="72">
        <f>D34+D38-D13</f>
        <v/>
      </c>
      <c r="E40" s="72">
        <f>E34+E38-E13</f>
        <v/>
      </c>
      <c r="F40" s="72">
        <f>F34+F38-F13</f>
        <v/>
      </c>
      <c r="G40" s="72">
        <f>G34+G38-G13</f>
        <v/>
      </c>
      <c r="H40" s="72">
        <f>H34+H38-H13</f>
        <v/>
      </c>
      <c r="I40" s="72">
        <f>I34+I38-I13</f>
        <v/>
      </c>
      <c r="J40" s="72">
        <f>J34+J38-J13</f>
        <v/>
      </c>
      <c r="K40" s="72">
        <f>K34+K38-K13</f>
        <v/>
      </c>
      <c r="L40" s="72">
        <f>L34+L38-L13</f>
        <v/>
      </c>
      <c r="M40" s="72">
        <f>M34+M38-M13</f>
        <v/>
      </c>
      <c r="N40" s="72">
        <f>N34+N38-N13</f>
        <v/>
      </c>
      <c r="O40" s="72">
        <f>O34+O38-O13</f>
        <v/>
      </c>
      <c r="P40" s="72">
        <f>P34+P38-P13</f>
        <v/>
      </c>
      <c r="Q40" s="72">
        <f>Q34+Q38-Q13</f>
        <v/>
      </c>
      <c r="R40" s="72">
        <f>R34+R38-R13</f>
        <v/>
      </c>
      <c r="S40" s="72">
        <f>S34+S38-S13</f>
        <v/>
      </c>
      <c r="T40" s="72">
        <f>T34+T38-T13</f>
        <v/>
      </c>
      <c r="U40" s="72">
        <f>U34+U38-U13</f>
        <v/>
      </c>
      <c r="V40" s="72">
        <f>V34+V38-V13</f>
        <v/>
      </c>
      <c r="W40" s="72">
        <f>W34+W38-W13</f>
        <v/>
      </c>
    </row>
  </sheetData>
  <mergeCells count="1">
    <mergeCell ref="A3:L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0" customWidth="1" min="1" max="1"/>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s>
  <sheetData>
    <row r="1" ht="26" customHeight="1">
      <c r="A1" s="66" t="inlineStr">
        <is>
          <t>Appendix: schools spending by category, FY2009 to FY2025</t>
        </is>
      </c>
    </row>
    <row r="2"/>
    <row r="3" ht="48" customHeight="1">
      <c r="A3" s="67" t="inlineStr">
        <is>
          <t>History, not forecast: Massachusetts Department of Elementary and Secondary Education spending per pupil by category times actual enrollment each year. This is the state's school spending measure, which counts school staff benefits, so it does not equal the Schedule A schools total.</t>
        </is>
      </c>
    </row>
    <row r="4"/>
    <row r="5">
      <c r="A5" s="69" t="inlineStr">
        <is>
          <t>Line item</t>
        </is>
      </c>
      <c r="C5" s="70" t="inlineStr">
        <is>
          <t>FY2009</t>
        </is>
      </c>
      <c r="D5" s="70" t="inlineStr">
        <is>
          <t>FY2010</t>
        </is>
      </c>
      <c r="E5" s="70" t="inlineStr">
        <is>
          <t>FY2011</t>
        </is>
      </c>
      <c r="F5" s="70" t="inlineStr">
        <is>
          <t>FY2012</t>
        </is>
      </c>
      <c r="G5" s="70" t="inlineStr">
        <is>
          <t>FY2013</t>
        </is>
      </c>
      <c r="H5" s="70" t="inlineStr">
        <is>
          <t>FY2014</t>
        </is>
      </c>
      <c r="I5" s="70" t="inlineStr">
        <is>
          <t>FY2015</t>
        </is>
      </c>
      <c r="J5" s="70" t="inlineStr">
        <is>
          <t>FY2016</t>
        </is>
      </c>
      <c r="K5" s="70" t="inlineStr">
        <is>
          <t>FY2017</t>
        </is>
      </c>
      <c r="L5" s="70" t="inlineStr">
        <is>
          <t>FY2018</t>
        </is>
      </c>
      <c r="M5" s="70" t="inlineStr">
        <is>
          <t>FY2019</t>
        </is>
      </c>
      <c r="N5" s="70" t="inlineStr">
        <is>
          <t>FY2020</t>
        </is>
      </c>
      <c r="O5" s="70" t="inlineStr">
        <is>
          <t>FY2021</t>
        </is>
      </c>
      <c r="P5" s="70" t="inlineStr">
        <is>
          <t>FY2022</t>
        </is>
      </c>
      <c r="Q5" s="70" t="inlineStr">
        <is>
          <t>FY2023</t>
        </is>
      </c>
      <c r="R5" s="70" t="inlineStr">
        <is>
          <t>FY2024</t>
        </is>
      </c>
      <c r="S5" s="70" t="inlineStr">
        <is>
          <t>FY2025</t>
        </is>
      </c>
    </row>
    <row r="6">
      <c r="A6" s="71" t="inlineStr">
        <is>
          <t>Administration</t>
        </is>
      </c>
      <c r="C6" s="72" t="n">
        <v>4860849</v>
      </c>
      <c r="D6" s="72" t="n">
        <v>4692200</v>
      </c>
      <c r="E6" s="72" t="n">
        <v>4970250</v>
      </c>
      <c r="F6" s="72" t="n">
        <v>5273125</v>
      </c>
      <c r="G6" s="72" t="n">
        <v>5504688</v>
      </c>
      <c r="H6" s="72" t="n">
        <v>5371256</v>
      </c>
      <c r="I6" s="72" t="n">
        <v>6404324</v>
      </c>
      <c r="J6" s="72" t="n">
        <v>6517800</v>
      </c>
      <c r="K6" s="72" t="n">
        <v>6748515</v>
      </c>
      <c r="L6" s="72" t="n">
        <v>4969237</v>
      </c>
      <c r="M6" s="72" t="n">
        <v>5082185</v>
      </c>
      <c r="N6" s="72" t="n">
        <v>5708318</v>
      </c>
      <c r="O6" s="72" t="n">
        <v>5836677</v>
      </c>
      <c r="P6" s="72" t="n">
        <v>5764096</v>
      </c>
      <c r="Q6" s="72" t="n">
        <v>9982840</v>
      </c>
      <c r="R6" s="72" t="n">
        <v>7947031</v>
      </c>
      <c r="S6" s="72" t="n">
        <v>7809576</v>
      </c>
    </row>
    <row r="7">
      <c r="A7" s="71" t="inlineStr">
        <is>
          <t>Guidance, Counseling and Testing</t>
        </is>
      </c>
      <c r="C7" s="72" t="n">
        <v>3413340</v>
      </c>
      <c r="D7" s="72" t="n">
        <v>3630792</v>
      </c>
      <c r="E7" s="72" t="n">
        <v>3611715</v>
      </c>
      <c r="F7" s="72" t="n">
        <v>3492500</v>
      </c>
      <c r="G7" s="72" t="n">
        <v>3876040</v>
      </c>
      <c r="H7" s="72" t="n">
        <v>4146872</v>
      </c>
      <c r="I7" s="72" t="n">
        <v>3911668</v>
      </c>
      <c r="J7" s="72" t="n">
        <v>5037876</v>
      </c>
      <c r="K7" s="72" t="n">
        <v>5140260</v>
      </c>
      <c r="L7" s="72" t="n">
        <v>4813217</v>
      </c>
      <c r="M7" s="72" t="n">
        <v>5160735</v>
      </c>
      <c r="N7" s="72" t="n">
        <v>5405015</v>
      </c>
      <c r="O7" s="72" t="n">
        <v>6008952</v>
      </c>
      <c r="P7" s="72" t="n">
        <v>6706304</v>
      </c>
      <c r="Q7" s="72" t="n">
        <v>6396360</v>
      </c>
      <c r="R7" s="72" t="n">
        <v>6581465</v>
      </c>
      <c r="S7" s="72" t="n">
        <v>7788507</v>
      </c>
    </row>
    <row r="8">
      <c r="A8" s="71" t="inlineStr">
        <is>
          <t>Instructional Leadership</t>
        </is>
      </c>
      <c r="C8" s="72" t="n">
        <v>6940458</v>
      </c>
      <c r="D8" s="72" t="n">
        <v>7002704</v>
      </c>
      <c r="E8" s="72" t="n">
        <v>7561407</v>
      </c>
      <c r="F8" s="72" t="n">
        <v>7122500</v>
      </c>
      <c r="G8" s="72" t="n">
        <v>8185912</v>
      </c>
      <c r="H8" s="72" t="n">
        <v>8556112</v>
      </c>
      <c r="I8" s="72" t="n">
        <v>9445064</v>
      </c>
      <c r="J8" s="72" t="n">
        <v>10988244</v>
      </c>
      <c r="K8" s="72" t="n">
        <v>9934245</v>
      </c>
      <c r="L8" s="72" t="n">
        <v>9603031</v>
      </c>
      <c r="M8" s="72" t="n">
        <v>11798210</v>
      </c>
      <c r="N8" s="72" t="n">
        <v>11541068</v>
      </c>
      <c r="O8" s="72" t="n">
        <v>12203961</v>
      </c>
      <c r="P8" s="72" t="n">
        <v>11742960</v>
      </c>
      <c r="Q8" s="72" t="n">
        <v>10801800</v>
      </c>
      <c r="R8" s="72" t="n">
        <v>11079386</v>
      </c>
      <c r="S8" s="72" t="n">
        <v>10583661</v>
      </c>
    </row>
    <row r="9">
      <c r="A9" s="71" t="inlineStr">
        <is>
          <t>Instructional Materials, Equipment and Technology</t>
        </is>
      </c>
      <c r="C9" s="72" t="n">
        <v>2136498</v>
      </c>
      <c r="D9" s="72" t="n">
        <v>2472304</v>
      </c>
      <c r="E9" s="72" t="n">
        <v>3154452</v>
      </c>
      <c r="F9" s="72" t="n">
        <v>2756875</v>
      </c>
      <c r="G9" s="72" t="n">
        <v>2887472</v>
      </c>
      <c r="H9" s="72" t="n">
        <v>2827744</v>
      </c>
      <c r="I9" s="72" t="n">
        <v>3829080</v>
      </c>
      <c r="J9" s="72" t="n">
        <v>4248072</v>
      </c>
      <c r="K9" s="72" t="n">
        <v>4947885</v>
      </c>
      <c r="L9" s="72" t="n">
        <v>5671327</v>
      </c>
      <c r="M9" s="72" t="n">
        <v>4029615</v>
      </c>
      <c r="N9" s="72" t="n">
        <v>3219678</v>
      </c>
      <c r="O9" s="72" t="n">
        <v>3982998</v>
      </c>
      <c r="P9" s="72" t="n">
        <v>4835744</v>
      </c>
      <c r="Q9" s="72" t="n">
        <v>3685320</v>
      </c>
      <c r="R9" s="72" t="n">
        <v>4659818</v>
      </c>
      <c r="S9" s="72" t="n">
        <v>4536858</v>
      </c>
    </row>
    <row r="10">
      <c r="A10" s="71" t="inlineStr">
        <is>
          <t>Insurance, Retirement Programs and Other</t>
        </is>
      </c>
      <c r="C10" s="72" t="n">
        <v>17224725</v>
      </c>
      <c r="D10" s="72" t="n">
        <v>18212208</v>
      </c>
      <c r="E10" s="72" t="n">
        <v>16355436</v>
      </c>
      <c r="F10" s="72" t="n">
        <v>17476250</v>
      </c>
      <c r="G10" s="72" t="n">
        <v>19038824</v>
      </c>
      <c r="H10" s="72" t="n">
        <v>20974864</v>
      </c>
      <c r="I10" s="72" t="n">
        <v>21990932</v>
      </c>
      <c r="J10" s="72" t="n">
        <v>24652620</v>
      </c>
      <c r="K10" s="72" t="n">
        <v>25308855</v>
      </c>
      <c r="L10" s="72" t="n">
        <v>26406385</v>
      </c>
      <c r="M10" s="72" t="n">
        <v>28199450</v>
      </c>
      <c r="N10" s="72" t="n">
        <v>29342621</v>
      </c>
      <c r="O10" s="72" t="n">
        <v>30458220</v>
      </c>
      <c r="P10" s="72" t="n">
        <v>32118208</v>
      </c>
      <c r="Q10" s="72" t="n">
        <v>33782100</v>
      </c>
      <c r="R10" s="72" t="n">
        <v>36025602</v>
      </c>
      <c r="S10" s="72" t="n">
        <v>38759937</v>
      </c>
    </row>
    <row r="11">
      <c r="A11" s="71" t="inlineStr">
        <is>
          <t>Operations and Maintenance</t>
        </is>
      </c>
      <c r="C11" s="72" t="n">
        <v>9734340</v>
      </c>
      <c r="D11" s="72" t="n">
        <v>9364984</v>
      </c>
      <c r="E11" s="72" t="n">
        <v>9576015</v>
      </c>
      <c r="F11" s="72" t="n">
        <v>9576875</v>
      </c>
      <c r="G11" s="72" t="n">
        <v>9658096</v>
      </c>
      <c r="H11" s="72" t="n">
        <v>10239640</v>
      </c>
      <c r="I11" s="72" t="n">
        <v>10413596</v>
      </c>
      <c r="J11" s="72" t="n">
        <v>10804212</v>
      </c>
      <c r="K11" s="72" t="n">
        <v>10965375</v>
      </c>
      <c r="L11" s="72" t="n">
        <v>12520605</v>
      </c>
      <c r="M11" s="72" t="n">
        <v>12497305</v>
      </c>
      <c r="N11" s="72" t="n">
        <v>12707618</v>
      </c>
      <c r="O11" s="72" t="n">
        <v>17317083</v>
      </c>
      <c r="P11" s="72" t="n">
        <v>17195296</v>
      </c>
      <c r="Q11" s="72" t="n">
        <v>13639920</v>
      </c>
      <c r="R11" s="72" t="n">
        <v>14971953</v>
      </c>
      <c r="S11" s="72" t="n">
        <v>16595349</v>
      </c>
    </row>
    <row r="12">
      <c r="A12" s="71" t="inlineStr">
        <is>
          <t>Other Teaching Services</t>
        </is>
      </c>
      <c r="C12" s="72" t="n">
        <v>10353798</v>
      </c>
      <c r="D12" s="72" t="n">
        <v>10821184</v>
      </c>
      <c r="E12" s="72" t="n">
        <v>11159868</v>
      </c>
      <c r="F12" s="72" t="n">
        <v>13818750</v>
      </c>
      <c r="G12" s="72" t="n">
        <v>12986512</v>
      </c>
      <c r="H12" s="72" t="n">
        <v>11413008</v>
      </c>
      <c r="I12" s="72" t="n">
        <v>11359604</v>
      </c>
      <c r="J12" s="72" t="n">
        <v>12659868</v>
      </c>
      <c r="K12" s="72" t="n">
        <v>10873035</v>
      </c>
      <c r="L12" s="72" t="n">
        <v>18519574</v>
      </c>
      <c r="M12" s="72" t="n">
        <v>16888250</v>
      </c>
      <c r="N12" s="72" t="n">
        <v>17817107</v>
      </c>
      <c r="O12" s="72" t="n">
        <v>17999292</v>
      </c>
      <c r="P12" s="72" t="n">
        <v>18677888</v>
      </c>
      <c r="Q12" s="72" t="n">
        <v>19344400</v>
      </c>
      <c r="R12" s="72" t="n">
        <v>21384482</v>
      </c>
      <c r="S12" s="72" t="n">
        <v>22571922</v>
      </c>
    </row>
    <row r="13">
      <c r="A13" s="71" t="inlineStr">
        <is>
          <t>Professional Development</t>
        </is>
      </c>
      <c r="C13" s="72" t="n">
        <v>1536003</v>
      </c>
      <c r="D13" s="72" t="n">
        <v>1598584</v>
      </c>
      <c r="E13" s="72" t="n">
        <v>1895322</v>
      </c>
      <c r="F13" s="72" t="n">
        <v>1980000</v>
      </c>
      <c r="G13" s="72" t="n">
        <v>1678432</v>
      </c>
      <c r="H13" s="72" t="n">
        <v>2047928</v>
      </c>
      <c r="I13" s="72" t="n">
        <v>1997128</v>
      </c>
      <c r="J13" s="72" t="n">
        <v>2377080</v>
      </c>
      <c r="K13" s="72" t="n">
        <v>2331585</v>
      </c>
      <c r="L13" s="72" t="n">
        <v>1170150</v>
      </c>
      <c r="M13" s="72" t="n">
        <v>1036860</v>
      </c>
      <c r="N13" s="72" t="n">
        <v>1088780</v>
      </c>
      <c r="O13" s="72" t="n">
        <v>971631</v>
      </c>
      <c r="P13" s="72" t="n">
        <v>1607296</v>
      </c>
      <c r="Q13" s="72" t="n">
        <v>1736760</v>
      </c>
      <c r="R13" s="72" t="n">
        <v>1274059</v>
      </c>
      <c r="S13" s="72" t="n">
        <v>1207956</v>
      </c>
    </row>
    <row r="14">
      <c r="A14" s="71" t="inlineStr">
        <is>
          <t>Pupil Services</t>
        </is>
      </c>
      <c r="C14" s="72" t="n">
        <v>4304601</v>
      </c>
      <c r="D14" s="72" t="n">
        <v>4743976</v>
      </c>
      <c r="E14" s="72" t="n">
        <v>5208822</v>
      </c>
      <c r="F14" s="72" t="n">
        <v>5706250</v>
      </c>
      <c r="G14" s="72" t="n">
        <v>5796280</v>
      </c>
      <c r="H14" s="72" t="n">
        <v>5385832</v>
      </c>
      <c r="I14" s="72" t="n">
        <v>6329244</v>
      </c>
      <c r="J14" s="72" t="n">
        <v>7345944</v>
      </c>
      <c r="K14" s="72" t="n">
        <v>8072055</v>
      </c>
      <c r="L14" s="72" t="n">
        <v>8440682</v>
      </c>
      <c r="M14" s="72" t="n">
        <v>7407265</v>
      </c>
      <c r="N14" s="72" t="n">
        <v>7668122</v>
      </c>
      <c r="O14" s="72" t="n">
        <v>7042602</v>
      </c>
      <c r="P14" s="72" t="n">
        <v>9505216</v>
      </c>
      <c r="Q14" s="72" t="n">
        <v>12030240</v>
      </c>
      <c r="R14" s="72" t="n">
        <v>12684278</v>
      </c>
      <c r="S14" s="72" t="n">
        <v>12023376</v>
      </c>
    </row>
    <row r="15">
      <c r="A15" s="73" t="inlineStr">
        <is>
          <t>Teachers</t>
        </is>
      </c>
      <c r="C15" s="72" t="n">
        <v>42104181</v>
      </c>
      <c r="D15" s="72" t="n">
        <v>41174864</v>
      </c>
      <c r="E15" s="72" t="n">
        <v>41697084</v>
      </c>
      <c r="F15" s="72" t="n">
        <v>42796875</v>
      </c>
      <c r="G15" s="72" t="n">
        <v>46114208</v>
      </c>
      <c r="H15" s="72" t="n">
        <v>50615160</v>
      </c>
      <c r="I15" s="72" t="n">
        <v>53186672</v>
      </c>
      <c r="J15" s="72" t="n">
        <v>56283120</v>
      </c>
      <c r="K15" s="72" t="n">
        <v>61744680</v>
      </c>
      <c r="L15" s="72" t="n">
        <v>59810267</v>
      </c>
      <c r="M15" s="72" t="n">
        <v>63570515</v>
      </c>
      <c r="N15" s="72" t="n">
        <v>66011176</v>
      </c>
      <c r="O15" s="72" t="n">
        <v>68923782</v>
      </c>
      <c r="P15" s="72" t="n">
        <v>64409616</v>
      </c>
      <c r="Q15" s="72" t="n">
        <v>70381140</v>
      </c>
      <c r="R15" s="72" t="n">
        <v>71213563</v>
      </c>
      <c r="S15" s="72" t="n">
        <v>71866359</v>
      </c>
    </row>
    <row r="16">
      <c r="A16" s="73" t="inlineStr">
        <is>
          <t>TOTAL (in-district spending)</t>
        </is>
      </c>
      <c r="C16" s="72" t="n">
        <v>102602472</v>
      </c>
      <c r="D16" s="72" t="n">
        <v>103707328</v>
      </c>
      <c r="E16" s="72" t="n">
        <v>105190371</v>
      </c>
      <c r="F16" s="72" t="n">
        <v>109993125</v>
      </c>
      <c r="G16" s="72" t="n">
        <v>115733576</v>
      </c>
      <c r="H16" s="72" t="n">
        <v>121571128</v>
      </c>
      <c r="I16" s="72" t="n">
        <v>128874820</v>
      </c>
      <c r="J16" s="72" t="n">
        <v>140907168</v>
      </c>
      <c r="K16" s="72" t="n">
        <v>146066490</v>
      </c>
      <c r="L16" s="72" t="n">
        <v>151924475</v>
      </c>
      <c r="M16" s="72" t="n">
        <v>155678245</v>
      </c>
      <c r="N16" s="72" t="n">
        <v>160509503</v>
      </c>
      <c r="O16" s="72" t="n">
        <v>170752089</v>
      </c>
      <c r="P16" s="72" t="n">
        <v>172562624</v>
      </c>
      <c r="Q16" s="72" t="n">
        <v>181787940</v>
      </c>
      <c r="R16" s="72" t="n">
        <v>187821637</v>
      </c>
      <c r="S16" s="72" t="n">
        <v>193757547</v>
      </c>
    </row>
    <row r="17"/>
    <row r="18">
      <c r="A18" s="71" t="inlineStr">
        <is>
          <t>Total enrollment (context; state data)</t>
        </is>
      </c>
      <c r="C18" s="32" t="n">
        <v>6321</v>
      </c>
      <c r="D18" s="32" t="n">
        <v>6472</v>
      </c>
      <c r="E18" s="32" t="n">
        <v>6627</v>
      </c>
      <c r="F18" s="32" t="n">
        <v>6875</v>
      </c>
      <c r="G18" s="32" t="n">
        <v>7112</v>
      </c>
      <c r="H18" s="32" t="n">
        <v>7288</v>
      </c>
      <c r="I18" s="32" t="n">
        <v>7508</v>
      </c>
      <c r="J18" s="32" t="n">
        <v>7668</v>
      </c>
      <c r="K18" s="32" t="n">
        <v>7695</v>
      </c>
      <c r="L18" s="32" t="n">
        <v>7801</v>
      </c>
      <c r="M18" s="32" t="n">
        <v>7855</v>
      </c>
      <c r="N18" s="32" t="n">
        <v>7777</v>
      </c>
      <c r="O18" s="32" t="n">
        <v>6891</v>
      </c>
      <c r="P18" s="32" t="n">
        <v>6928</v>
      </c>
      <c r="Q18" s="32" t="n">
        <v>7060</v>
      </c>
      <c r="R18" s="32" t="n">
        <v>7039</v>
      </c>
      <c r="S18" s="32" t="n">
        <v>7023</v>
      </c>
    </row>
    <row r="19">
      <c r="A19" s="71" t="inlineStr">
        <is>
          <t>Average teacher salary (context, FY2018 on)</t>
        </is>
      </c>
      <c r="L19" s="72" t="n">
        <v>95968</v>
      </c>
      <c r="M19" s="72" t="n">
        <v>98614</v>
      </c>
      <c r="N19" s="72" t="n">
        <v>100041</v>
      </c>
      <c r="O19" s="72" t="n">
        <v>101158</v>
      </c>
      <c r="P19" s="72" t="n">
        <v>104268</v>
      </c>
      <c r="Q19" s="72" t="n">
        <v>115926</v>
      </c>
      <c r="R19" s="72" t="n">
        <v>122329</v>
      </c>
      <c r="S19" s="72" t="n">
        <v>131997</v>
      </c>
    </row>
  </sheetData>
  <mergeCells count="1">
    <mergeCell ref="A3:L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8" customWidth="1" min="1" max="1"/>
    <col width="12" customWidth="1" min="3" max="3"/>
    <col width="12" customWidth="1" min="4" max="4"/>
    <col width="12" customWidth="1" min="5" max="5"/>
  </cols>
  <sheetData>
    <row r="1" ht="26" customHeight="1">
      <c r="A1" s="66" t="inlineStr">
        <is>
          <t>Appendix: benefits by category, FY2023 to FY2025</t>
        </is>
      </c>
    </row>
    <row r="2"/>
    <row r="3" ht="48" customHeight="1">
      <c r="A3" s="67" t="inlineStr">
        <is>
          <t>History, not forecast: the Town's own benefits detail tables from three successive Financial Plans, FY2023 to FY2025.</t>
        </is>
      </c>
    </row>
    <row r="4"/>
    <row r="5">
      <c r="A5" s="69" t="inlineStr">
        <is>
          <t>Line item</t>
        </is>
      </c>
      <c r="C5" s="70" t="inlineStr">
        <is>
          <t>FY2023</t>
        </is>
      </c>
      <c r="D5" s="70" t="inlineStr">
        <is>
          <t>FY2024</t>
        </is>
      </c>
      <c r="E5" s="70" t="inlineStr">
        <is>
          <t>FY2025</t>
        </is>
      </c>
    </row>
    <row r="6">
      <c r="A6" s="73" t="inlineStr">
        <is>
          <t>Pensions (Contributory Retirement)</t>
        </is>
      </c>
      <c r="C6" s="72" t="n">
        <v>30553078</v>
      </c>
      <c r="D6" s="72" t="n">
        <v>33103579</v>
      </c>
      <c r="E6" s="72" t="n">
        <v>37517904</v>
      </c>
    </row>
    <row r="7">
      <c r="A7" s="71" t="inlineStr">
        <is>
          <t>Group Health Insurance (GIC)</t>
        </is>
      </c>
      <c r="C7" s="72" t="n">
        <v>33971831</v>
      </c>
      <c r="D7" s="72" t="n">
        <v>34756062</v>
      </c>
      <c r="E7" s="72" t="n">
        <v>38268676</v>
      </c>
    </row>
    <row r="8">
      <c r="A8" s="73" t="inlineStr">
        <is>
          <t>OPEB (Retiree Group Health Trust)</t>
        </is>
      </c>
      <c r="C8" s="72" t="n">
        <v>4431980</v>
      </c>
      <c r="D8" s="72" t="n">
        <v>4681980</v>
      </c>
      <c r="E8" s="72" t="n">
        <v>5415980</v>
      </c>
    </row>
    <row r="9">
      <c r="A9" s="71" t="inlineStr">
        <is>
          <t>Other (Group Life, Medicare, Workers' Comp, Disability, IOD, Unemployment)</t>
        </is>
      </c>
    </row>
    <row r="10">
      <c r="A10" s="73" t="inlineStr">
        <is>
          <t>TOTAL BENEFITS</t>
        </is>
      </c>
      <c r="C10" s="72" t="n">
        <v>68956889</v>
      </c>
      <c r="D10" s="72" t="n">
        <v>72541621</v>
      </c>
      <c r="E10" s="72" t="n">
        <v>81202560</v>
      </c>
    </row>
    <row r="11"/>
  </sheetData>
  <mergeCells count="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2026-10-28T20:47:17Z</dcterms:created>
  <dcterms:modified xmlns:dcterms="http://purl.org/dc/terms/" xmlns:xsi="http://www.w3.org/2001/XMLSchema-instance" xsi:type="dcterms:W3CDTF">2026-10-28T20:47:18Z</dcterms:modified>
</cp:coreProperties>
</file>