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ending drivers" sheetId="2" state="visible" r:id="rId2"/>
    <sheet xmlns:r="http://schemas.openxmlformats.org/officeDocument/2006/relationships" name="Revenue drivers" sheetId="3" state="visible" r:id="rId3"/>
    <sheet xmlns:r="http://schemas.openxmlformats.org/officeDocument/2006/relationships" name="History FY2011-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;(0.0%);&quot;-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</font>
    <font>
      <name val="Arial"/>
      <i val="1"/>
      <color rgb="00555555"/>
    </font>
    <font>
      <name val="Arial"/>
      <color rgb="000000FF"/>
    </font>
    <font>
      <name val="Arial"/>
      <b val="1"/>
      <color rgb="00C00000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5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164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7" fillId="0" borderId="0" applyAlignment="1" pivotButton="0" quotePrefix="0" xfId="0">
      <alignment vertical="top" wrapText="1"/>
    </xf>
    <xf numFmtId="10" fontId="5" fillId="0" borderId="0" pivotButton="0" quotePrefix="0" xfId="0"/>
    <xf numFmtId="0" fontId="3" fillId="2" borderId="0" pivotButton="0" quotePrefix="0" xfId="0"/>
    <xf numFmtId="165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Growth drivers by budget category, base case</t>
        </is>
      </c>
    </row>
    <row r="2">
      <c r="A2" s="2" t="inlineStr">
        <is>
          <t>Built 2026-10-14 from the forecast as rebuilt on 2026-10-13 (room $12.4M in FY2031, $7.6M in FY2040). Read-only: nothing in the model was changed.</t>
        </is>
      </c>
    </row>
    <row r="3">
      <c r="A3" s="2" t="inlineStr"/>
    </row>
    <row r="4">
      <c r="A4" s="2" t="inlineStr">
        <is>
          <t>Basis. Operating basis, the same as the forecast's room: excluded debt is left out of both sides because the debt-exclusion tax pays it dollar for dollar. FY2027 is the budget Town Meeting adopted in May 2026; drivers apply from FY2028.</t>
        </is>
      </c>
    </row>
    <row r="5">
      <c r="A5" s="2" t="inlineStr">
        <is>
          <t>Sources. Spending: expense_driver_forecast.run(BASE), run in memory, which matches output/expense_driver_forecast_fy26_40.csv. Revenue: the trend_continues scenario of new_growth_scenario_forecast with the approved Chestnut Hill program, the frame the driver forecast uses. Non-departmental detail: output/town_own_forecast_fy26_31.csv and output/baseline_expense_forecast_fy26_40.csv.</t>
        </is>
      </c>
    </row>
    <row r="6">
      <c r="A6" s="2" t="inlineStr">
        <is>
          <t>Growth columns are compound annual rates between the years shown. FY2027-31 rates include one-time moves (the pension catch-up ending, the OPEB shift, the override's phase-in), so read them with the driver text.</t>
        </is>
      </c>
    </row>
    <row r="7">
      <c r="A7" s="2" t="inlineStr">
        <is>
          <t>Rows shaded orange are held flat in dollars after FY2031, which means they shrink about 2.5% a year after inflation.</t>
        </is>
      </c>
    </row>
    <row r="8">
      <c r="A8" s="2" t="inlineStr">
        <is>
          <t>Blue numbers are values read from the model; black cells are formulas. Each sheet ends with a sum check against the model's total.</t>
        </is>
      </c>
    </row>
    <row r="9">
      <c r="A9" s="2" t="inlineStr"/>
    </row>
    <row r="10">
      <c r="A10" s="3" t="inlineStr">
        <is>
          <t>Sheets</t>
        </is>
      </c>
    </row>
    <row r="11">
      <c r="A11" s="2" t="inlineStr">
        <is>
          <t>Spending drivers: every spending line, its driver and the numbers behind it.</t>
        </is>
      </c>
    </row>
    <row r="12">
      <c r="A12" s="2" t="inlineStr">
        <is>
          <t>Revenue drivers: every revenue line, plus memo lines splitting the levy's yearly increase into 2.5%, new growth and the override.</t>
        </is>
      </c>
    </row>
    <row r="13">
      <c r="A13" s="2" t="inlineStr">
        <is>
          <t>History FY2011-25: what the same categories did in the record, next to the forecast's rate, and the FY2011-25 causes of spending growth.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4" customWidth="1" min="4" max="4"/>
    <col width="14" customWidth="1" min="5" max="5"/>
    <col width="10" customWidth="1" min="6" max="6"/>
    <col width="11" customWidth="1" min="7" max="7"/>
    <col width="11" customWidth="1" min="8" max="8"/>
    <col width="48" customWidth="1" min="9" max="9"/>
    <col width="55" customWidth="1" min="10" max="10"/>
    <col width="32" customWidth="1" min="11" max="11"/>
    <col width="38" customWidth="1" min="12" max="12"/>
    <col width="34" customWidth="1" min="13" max="13"/>
  </cols>
  <sheetData>
    <row r="1">
      <c r="A1" s="4" t="inlineStr">
        <is>
          <t>Spending: what drives each line (base case, operating basis)</t>
        </is>
      </c>
    </row>
    <row r="2">
      <c r="A2" s="5" t="inlineStr">
        <is>
          <t>FY2027 adopted budget; drivers from FY2028. Dollars are nominal.</t>
        </is>
      </c>
    </row>
    <row r="4">
      <c r="A4" s="6" t="inlineStr">
        <is>
          <t>Group</t>
        </is>
      </c>
      <c r="B4" s="6" t="inlineStr">
        <is>
          <t>Category</t>
        </is>
      </c>
      <c r="C4" s="6" t="inlineStr">
        <is>
          <t>FY2027 ($)</t>
        </is>
      </c>
      <c r="D4" s="6" t="inlineStr">
        <is>
          <t>FY2031 ($)</t>
        </is>
      </c>
      <c r="E4" s="6" t="inlineStr">
        <is>
          <t>FY2040 ($)</t>
        </is>
      </c>
      <c r="F4" s="6" t="inlineStr">
        <is>
          <t>Share of FY2027</t>
        </is>
      </c>
      <c r="G4" s="6" t="inlineStr">
        <is>
          <t>Growth FY2027-31 (%/yr)</t>
        </is>
      </c>
      <c r="H4" s="6" t="inlineStr">
        <is>
          <t>Growth FY2031-40 (%/yr)</t>
        </is>
      </c>
      <c r="I4" s="6" t="inlineStr">
        <is>
          <t>What drives it</t>
        </is>
      </c>
      <c r="J4" s="6" t="inlineStr">
        <is>
          <t>Numbers the model uses</t>
        </is>
      </c>
      <c r="K4" s="6" t="inlineStr">
        <is>
          <t>Held to the Town's plan?</t>
        </is>
      </c>
      <c r="L4" s="6" t="inlineStr">
        <is>
          <t>Flag</t>
        </is>
      </c>
      <c r="M4" s="6" t="inlineStr">
        <is>
          <t>Source (file:line)</t>
        </is>
      </c>
    </row>
    <row r="5">
      <c r="A5" s="2" t="inlineStr">
        <is>
          <t>Schools</t>
        </is>
      </c>
      <c r="B5" s="2" t="inlineStr">
        <is>
          <t>School Department</t>
        </is>
      </c>
      <c r="C5" s="7" t="n">
        <v>149801900</v>
      </c>
      <c r="D5" s="7" t="n">
        <v>170320366.7832548</v>
      </c>
      <c r="E5" s="7" t="n">
        <v>230218242.88744</v>
      </c>
      <c r="F5" s="8">
        <f>C5/C$21</f>
        <v/>
      </c>
      <c r="G5" s="8">
        <f>IF(AND(C5&gt;0,D5&gt;0),(D5/C5)^(1/4)-1,"n/a")</f>
        <v/>
      </c>
      <c r="H5" s="8">
        <f>IF(D5&gt;0,(E5/D5)^(1/9)-1,"n/a")</f>
        <v/>
      </c>
      <c r="I5" s="2" t="inlineStr">
        <is>
          <t>Staff times pay, plus supplies. 83% of the budget is pay: school staff (held at the FY2027 level, about 1,214, because the base case keeps staff as enrollment falls) times school pay. The other 17% grows with prices and, for its enrollment-linked two-thirds, with enrollment.</t>
        </is>
      </c>
      <c r="J5" s="2" t="inlineStr">
        <is>
          <t>School pay 3.7%/yr (3.0% Town target + 0.7 pt for steps, lanes and turnover); CPI 2.5%/yr; staff held at FY2027 ratio (6,889 students / 1,214 staff); enrollment NESDEC rescaled for actual births: 6,889 (FY2027) to 6,313 (FY2031) to about 5,440 (FY2040); 67% of non-pay varies with enrollment.</t>
        </is>
      </c>
      <c r="K5" s="2" t="inlineStr">
        <is>
          <t>No. FY2027 is the adopted budget; drivers from FY2028. The Town's plan grows schools about 5%/yr to FY2031.</t>
        </is>
      </c>
      <c r="L5" s="2" t="inlineStr"/>
      <c r="M5" s="2" t="inlineStr">
        <is>
          <t>expense_driver_forecast.py:463 (sch); BASE :245; SCHOOL_PERSONNEL_SHARE :257; SCHOOL_VARIABLE_SHARE :262</t>
        </is>
      </c>
    </row>
    <row r="6">
      <c r="A6" s="2" t="inlineStr">
        <is>
          <t>Town departments</t>
        </is>
      </c>
      <c r="B6" s="2" t="inlineStr">
        <is>
          <t>Public safety personnel (police and fire)</t>
        </is>
      </c>
      <c r="C6" s="7" t="n">
        <v>45502245.08580054</v>
      </c>
      <c r="D6" s="7" t="n">
        <v>54262273.63501463</v>
      </c>
      <c r="E6" s="7" t="n">
        <v>80638901.15682378</v>
      </c>
      <c r="F6" s="8">
        <f>C6/C$21</f>
        <v/>
      </c>
      <c r="G6" s="8">
        <f>IF(AND(C6&gt;0,D6&gt;0),(D6/C6)^(1/4)-1,"n/a")</f>
        <v/>
      </c>
      <c r="H6" s="8">
        <f>IF(D6&gt;0,(E6/D6)^(1/9)-1,"n/a")</f>
        <v/>
      </c>
      <c r="I6" s="2" t="inlineStr">
        <is>
          <t>Police and fire pay: positions held at the FY2027 budget (128 sworn police, 160 fire) times public safety pay.</t>
        </is>
      </c>
      <c r="J6" s="2" t="inlineStr">
        <is>
          <t>Public safety pay 4.5%/yr (3.0% target + 1.5 pt, its record above the national benchmark). Public safety is 57.5% of town personnel cost.</t>
        </is>
      </c>
      <c r="K6" s="2" t="inlineStr">
        <is>
          <t>No. Adopted FY2027, then drivers.</t>
        </is>
      </c>
      <c r="L6" s="2" t="inlineStr"/>
      <c r="M6" s="2" t="inlineStr">
        <is>
          <t>expense_driver_forecast.py:444 (dep_base, pay_mix); BASE pay_ps_premium :245</t>
        </is>
      </c>
    </row>
    <row r="7">
      <c r="A7" s="2" t="inlineStr">
        <is>
          <t>Town departments</t>
        </is>
      </c>
      <c r="B7" s="2" t="inlineStr">
        <is>
          <t>All other town department costs</t>
        </is>
      </c>
      <c r="C7" s="7" t="n">
        <v>57983878.91419946</v>
      </c>
      <c r="D7" s="7" t="n">
        <v>64731986.39874338</v>
      </c>
      <c r="E7" s="7" t="n">
        <v>82954729.05187419</v>
      </c>
      <c r="F7" s="8">
        <f>C7/C$21</f>
        <v/>
      </c>
      <c r="G7" s="8">
        <f>IF(AND(C7&gt;0,D7&gt;0),(D7/C7)^(1/4)-1,"n/a")</f>
        <v/>
      </c>
      <c r="H7" s="8">
        <f>IF(D7&gt;0,(E7/D7)^(1/9)-1,"n/a")</f>
        <v/>
      </c>
      <c r="I7" s="2" t="inlineStr">
        <is>
          <t>Other town staff pay (headcount held at FY2027's 707 town FTE in total) plus non-personnel spending at inflation.</t>
        </is>
      </c>
      <c r="J7" s="2" t="inlineStr">
        <is>
          <t>Pay 3.0%/yr for non-public-safety staff; non-personnel (23.6% of town department spending, FY2019 salary shares) at CPI 2.5%/yr; town FTE flat at 707.5.</t>
        </is>
      </c>
      <c r="K7" s="2" t="inlineStr">
        <is>
          <t>No. Adopted FY2027, then drivers.</t>
        </is>
      </c>
      <c r="L7" s="2" t="inlineStr"/>
      <c r="M7" s="2" t="inlineStr">
        <is>
          <t>expense_driver_forecast.py:444; pD/psD from FY2019 salary shares :420-428</t>
        </is>
      </c>
    </row>
    <row r="8">
      <c r="A8" s="2" t="inlineStr">
        <is>
          <t>Town departments</t>
        </is>
      </c>
      <c r="B8" s="2" t="inlineStr">
        <is>
          <t>Costs of growth (new homes, commercial space, fire company, permitting)</t>
        </is>
      </c>
      <c r="C8" s="7" t="n">
        <v>0</v>
      </c>
      <c r="D8" s="7" t="n">
        <v>297021.4181721758</v>
      </c>
      <c r="E8" s="7" t="n">
        <v>1757533.520681788</v>
      </c>
      <c r="F8" s="8">
        <f>C8/C$21</f>
        <v/>
      </c>
      <c r="G8" s="8">
        <f>IF(AND(C8&gt;0,D8&gt;0),(D8/C8)^(1/4)-1,"n/a")</f>
        <v/>
      </c>
      <c r="H8" s="8">
        <f>IF(D8&gt;0,(E8/D8)^(1/9)-1,"n/a")</f>
        <v/>
      </c>
      <c r="I8" s="2" t="inlineStr">
        <is>
          <t>Service cost added by growth counted from FY2028: a per-home charge for new homes, a per-employee charge for new commercial space and Chestnut Hill, permitting staff above the trend, and a new fire company once homes pass a threshold.</t>
        </is>
      </c>
      <c r="J8" s="2" t="inlineStr">
        <is>
          <t>$660 per home (FY2025 $, less fire's share), $177 per commercial employee (1 per 200 sq ft), grown with pay; fire company at 31,200 homes ($3.04M FY2025 $, 20 firefighters), not reached in the base case.</t>
        </is>
      </c>
      <c r="K8" s="2" t="inlineStr">
        <is>
          <t>No.</t>
        </is>
      </c>
      <c r="L8" s="2" t="inlineStr"/>
      <c r="M8" s="2" t="inlineStr">
        <is>
          <t>expense_driver_forecast.py:447-452; cost_assumptions.py:38-83</t>
        </is>
      </c>
    </row>
    <row r="9">
      <c r="A9" s="2" t="inlineStr">
        <is>
          <t>Benefits</t>
        </is>
      </c>
      <c r="B9" s="2" t="inlineStr">
        <is>
          <t>Group health insurance (active and retired)</t>
        </is>
      </c>
      <c r="C9" s="7" t="n">
        <v>46364204</v>
      </c>
      <c r="D9" s="7" t="n">
        <v>68831840.53201613</v>
      </c>
      <c r="E9" s="7" t="n">
        <v>142432714.3164936</v>
      </c>
      <c r="F9" s="8">
        <f>C9/C$21</f>
        <v/>
      </c>
      <c r="G9" s="8">
        <f>IF(AND(C9&gt;0,D9&gt;0),(D9/C9)^(1/4)-1,"n/a")</f>
        <v/>
      </c>
      <c r="H9" s="8">
        <f>IF(D9&gt;0,(E9/D9)^(1/9)-1,"n/a")</f>
        <v/>
      </c>
      <c r="I9" s="2" t="inlineStr">
        <is>
          <t>Subscribers times premium. 51% of subscribers are active staff, who follow total town and school FTE (flat); 49% are retirees, growing 0.74%/yr.</t>
        </is>
      </c>
      <c r="J9" s="2" t="inlineStr">
        <is>
          <t>Premiums +12%/yr in FY2028 and FY2029 (the Town's figure), then 8%/yr (between the 6.5% 25-year average and the recent 10-12%).</t>
        </is>
      </c>
      <c r="K9" s="2" t="inlineStr">
        <is>
          <t>Partly. FY2028-29 premium rate is the Town's; level starts from the adopted FY2027 budget.</t>
        </is>
      </c>
      <c r="L9" s="2" t="inlineStr"/>
      <c r="M9" s="2" t="inlineStr">
        <is>
          <t>expense_driver_forecast.py:341 (prem), :467-468</t>
        </is>
      </c>
    </row>
    <row r="10">
      <c r="A10" s="2" t="inlineStr">
        <is>
          <t>Benefits</t>
        </is>
      </c>
      <c r="B10" s="2" t="inlineStr">
        <is>
          <t>Health and benefit loading for growth staff</t>
        </is>
      </c>
      <c r="C10" s="7" t="n">
        <v>0</v>
      </c>
      <c r="D10" s="7" t="n">
        <v>70170.97525798922</v>
      </c>
      <c r="E10" s="7" t="n">
        <v>415215.3132719823</v>
      </c>
      <c r="F10" s="8">
        <f>C10/C$21</f>
        <v/>
      </c>
      <c r="G10" s="8">
        <f>IF(AND(C10&gt;0,D10&gt;0),(D10/C10)^(1/4)-1,"n/a")</f>
        <v/>
      </c>
      <c r="H10" s="8">
        <f>IF(D10&gt;0,(E10/D10)^(1/9)-1,"n/a")</f>
        <v/>
      </c>
      <c r="I10" s="2" t="inlineStr">
        <is>
          <t>Benefits on the growth-related town staff above.</t>
        </is>
      </c>
      <c r="J10" s="2" t="inlineStr">
        <is>
          <t>23.6% of their pay (262/1,109).</t>
        </is>
      </c>
      <c r="K10" s="2" t="inlineStr">
        <is>
          <t>No.</t>
        </is>
      </c>
      <c r="L10" s="2" t="inlineStr"/>
      <c r="M10" s="2" t="inlineStr">
        <is>
          <t>expense_driver_forecast.py:469; cost_assumptions.py:40</t>
        </is>
      </c>
    </row>
    <row r="11">
      <c r="A11" s="2" t="inlineStr">
        <is>
          <t>Benefits</t>
        </is>
      </c>
      <c r="B11" s="2" t="inlineStr">
        <is>
          <t>Pensions</t>
        </is>
      </c>
      <c r="C11" s="7" t="n">
        <v>41167421</v>
      </c>
      <c r="D11" s="7" t="n">
        <v>7276167</v>
      </c>
      <c r="E11" s="7" t="n">
        <v>9493747.582663285</v>
      </c>
      <c r="F11" s="8">
        <f>C11/C$21</f>
        <v/>
      </c>
      <c r="G11" s="8">
        <f>IF(AND(C11&gt;0,D11&gt;0),(D11/C11)^(1/4)-1,"n/a")</f>
        <v/>
      </c>
      <c r="H11" s="8">
        <f>IF(D11&gt;0,(E11/D11)^(1/9)-1,"n/a")</f>
        <v/>
      </c>
      <c r="I11" s="2" t="inlineStr">
        <is>
          <t>Through FY2031 the Town's actuarial schedule: catch-up payments on the unfunded liability end when the system reaches full funding in FY2030, so the line drops from $44M to the normal cost of about $7.3M in FY2031. After that, normal cost grows with town payroll.</t>
        </is>
      </c>
      <c r="J11" s="2" t="inlineStr">
        <is>
          <t>FY2028-31 Town schedule (2024 actuarial valuation); FY2032 on, town pay 3.0%/yr times town FTE (flat).</t>
        </is>
      </c>
      <c r="K11" s="2" t="inlineStr">
        <is>
          <t>Yes, FY2028-31 (appropriate: it is the actuarial schedule). Own rule after.</t>
        </is>
      </c>
      <c r="L11" s="2" t="inlineStr">
        <is>
          <t>Grows with town payroll at 3.0% only; school staff in the retirement system (non-teachers) and the 4.5% public safety pay are not reflected. Small.</t>
        </is>
      </c>
      <c r="M11" s="2" t="inlineStr">
        <is>
          <t>expense_driver_forecast.py:470-477</t>
        </is>
      </c>
    </row>
    <row r="12">
      <c r="A12" s="2" t="inlineStr">
        <is>
          <t>Benefits</t>
        </is>
      </c>
      <c r="B12" s="2" t="inlineStr">
        <is>
          <t>Retiree health (OPEB) contributions</t>
        </is>
      </c>
      <c r="C12" s="7" t="n">
        <v>4931980</v>
      </c>
      <c r="D12" s="7" t="n">
        <v>42994233</v>
      </c>
      <c r="E12" s="7" t="n">
        <v>42994233</v>
      </c>
      <c r="F12" s="8">
        <f>C12/C$21</f>
        <v/>
      </c>
      <c r="G12" s="8">
        <f>IF(AND(C12&gt;0,D12&gt;0),(D12/C12)^(1/4)-1,"n/a")</f>
        <v/>
      </c>
      <c r="H12" s="8">
        <f>IF(D12&gt;0,(E12/D12)^(1/9)-1,"n/a")</f>
        <v/>
      </c>
      <c r="I12" s="2" t="inlineStr">
        <is>
          <t>The Town's funding schedule for the retiree health trust. In FY2031 the money freed from pensions moves here, so the line jumps from $5.9M to $43.0M.</t>
        </is>
      </c>
      <c r="J12" s="2" t="inlineStr">
        <is>
          <t>FY2028-30 Town schedule (+$0.25M/yr); FY2031 $42.99M including the pension-to-OPEB shift; flat after.</t>
        </is>
      </c>
      <c r="K12" s="2" t="inlineStr">
        <is>
          <t>Yes, through FY2031 (a policy choice the base case makes on purpose). Held flat in dollars FY2032-40.</t>
        </is>
      </c>
      <c r="L12" s="2" t="inlineStr">
        <is>
          <t>Flat in dollars FY2032-40 (shrinks about 2.5%/yr after inflation). Deliberate, but worth knowing: the redirected pension money does not grow.</t>
        </is>
      </c>
      <c r="M12" s="2" t="inlineStr">
        <is>
          <t>expense_driver_forecast.py:479-488</t>
        </is>
      </c>
    </row>
    <row r="13">
      <c r="A13" s="2" t="inlineStr">
        <is>
          <t>Benefits</t>
        </is>
      </c>
      <c r="B13" s="2" t="inlineStr">
        <is>
          <t>Other benefits (Medicare, workers' comp, injured-on-duty, unemployment, life, disability)</t>
        </is>
      </c>
      <c r="C13" s="7" t="n">
        <v>6659823</v>
      </c>
      <c r="D13" s="7" t="n">
        <v>8087057</v>
      </c>
      <c r="E13" s="7" t="n">
        <v>10573508.67778059</v>
      </c>
      <c r="F13" s="8">
        <f>C13/C$21</f>
        <v/>
      </c>
      <c r="G13" s="8">
        <f>IF(AND(C13&gt;0,D13&gt;0),(D13/C13)^(1/4)-1,"n/a")</f>
        <v/>
      </c>
      <c r="H13" s="8">
        <f>IF(D13&gt;0,(E13/D13)^(1/9)-1,"n/a")</f>
        <v/>
      </c>
      <c r="I13" s="2" t="inlineStr">
        <is>
          <t>Mostly the 1.45% Medicare tax on pay and workers' compensation.</t>
        </is>
      </c>
      <c r="J13" s="2" t="inlineStr">
        <is>
          <t>FY2028-31 the Town's figures (Medicare grows 6.7%/yr there); FY2032 on, total payroll at 3.0% pay times total FTE.</t>
        </is>
      </c>
      <c r="K13" s="2" t="inlineStr">
        <is>
          <t>Yes, FY2028-31, so it follows the Town's payroll, not ours. Own rule after.</t>
        </is>
      </c>
      <c r="L13" s="2" t="inlineStr">
        <is>
          <t>FY2028-31 tied to the Town's faster school pay assumption; after FY2031 uses 3.0% pay for all staff, not the 3.7%/4.5% school and public safety rates. A few hundred thousand dollars.</t>
        </is>
      </c>
      <c r="M13" s="2" t="inlineStr">
        <is>
          <t>expense_driver_forecast.py:490-498</t>
        </is>
      </c>
    </row>
    <row r="14">
      <c r="A14" s="2" t="inlineStr">
        <is>
          <t>Capital and debt</t>
        </is>
      </c>
      <c r="B14" s="2" t="inlineStr">
        <is>
          <t>Within-levy debt service</t>
        </is>
      </c>
      <c r="C14" s="7" t="n">
        <v>14045480</v>
      </c>
      <c r="D14" s="7" t="n">
        <v>17594808</v>
      </c>
      <c r="E14" s="7" t="n">
        <v>23063664.03912409</v>
      </c>
      <c r="F14" s="8">
        <f>C14/C$21</f>
        <v/>
      </c>
      <c r="G14" s="8">
        <f>IF(AND(C14&gt;0,D14&gt;0),(D14/C14)^(1/4)-1,"n/a")</f>
        <v/>
      </c>
      <c r="H14" s="8">
        <f>IF(D14&gt;0,(E14/D14)^(1/9)-1,"n/a")</f>
        <v/>
      </c>
      <c r="I14" s="2" t="inlineStr">
        <is>
          <t>Debt on borrowing the Town pays inside the levy (not voter-approved exclusions).</t>
        </is>
      </c>
      <c r="J14" s="2" t="inlineStr">
        <is>
          <t>FY2028-32 the FY2027 Financial Plan's capital funding table (p.384); then +3.5%/yr.</t>
        </is>
      </c>
      <c r="K14" s="2" t="inlineStr">
        <is>
          <t>Yes, through FY2032 (the Town's capital table). Own rule after.</t>
        </is>
      </c>
      <c r="L14" s="2" t="inlineStr"/>
      <c r="M14" s="2" t="inlineStr">
        <is>
          <t>expense_driver_forecast.py:500-502</t>
        </is>
      </c>
    </row>
    <row r="15">
      <c r="A15" s="2" t="inlineStr">
        <is>
          <t>Capital and debt</t>
        </is>
      </c>
      <c r="B15" s="2" t="inlineStr">
        <is>
          <t>Cash capital (revenue-financed, free cash and overlay)</t>
        </is>
      </c>
      <c r="C15" s="7" t="n">
        <v>22409889</v>
      </c>
      <c r="D15" s="7" t="n">
        <v>21479166</v>
      </c>
      <c r="E15" s="7" t="n">
        <v>32337217</v>
      </c>
      <c r="F15" s="8">
        <f>C15/C$21</f>
        <v/>
      </c>
      <c r="G15" s="8">
        <f>IF(AND(C15&gt;0,D15&gt;0),(D15/C15)^(1/4)-1,"n/a")</f>
        <v/>
      </c>
      <c r="H15" s="8">
        <f>IF(D15&gt;0,(E15/D15)^(1/9)-1,"n/a")</f>
        <v/>
      </c>
      <c r="I15" s="2" t="inlineStr">
        <is>
          <t>Pay-as-you-go capital projects, funded from revenue and from free cash.</t>
        </is>
      </c>
      <c r="J15" s="2" t="inlineStr">
        <is>
          <t>FY2028-32 the Town's capital table; FY2033 on, 2.30% (revenue-financed) plus 2.89% (free cash) of prior-year net revenue.</t>
        </is>
      </c>
      <c r="K15" s="2" t="inlineStr">
        <is>
          <t>Yes, through FY2032. Own rule after.</t>
        </is>
      </c>
      <c r="L15" s="2" t="inlineStr">
        <is>
          <t>FY2033-40 computed from the September 30 revenue forecast's net revenue, with non-appropriated items held flat, not from the current base case revenue.</t>
        </is>
      </c>
      <c r="M15" s="2" t="inlineStr">
        <is>
          <t>baseline_expense_forecast.py (special_appropriations_cip, :740); used at expense_driver_forecast.py:503</t>
        </is>
      </c>
    </row>
    <row r="16">
      <c r="A16" s="2" t="inlineStr">
        <is>
          <t>Capital and debt</t>
        </is>
      </c>
      <c r="B16" s="2" t="inlineStr">
        <is>
          <t>Top-up to the 6.6% capital policy</t>
        </is>
      </c>
      <c r="C16" s="7" t="n">
        <v>0</v>
      </c>
      <c r="D16" s="7" t="n">
        <v>2393395.716747269</v>
      </c>
      <c r="E16" s="7" t="n">
        <v>3517832.50252223</v>
      </c>
      <c r="F16" s="8">
        <f>C16/C$21</f>
        <v/>
      </c>
      <c r="G16" s="8">
        <f>IF(AND(C16&gt;0,D16&gt;0),(D16/C16)^(1/4)-1,"n/a")</f>
        <v/>
      </c>
      <c r="H16" s="8">
        <f>IF(D16&gt;0,(E16/D16)^(1/9)-1,"n/a")</f>
        <v/>
      </c>
      <c r="I16" s="2" t="inlineStr">
        <is>
          <t>Extra cash capital so debt plus revenue-financed capital reach 6.6% of prior-year net revenue (4.5% debt + 2.1% cash), the Select Board policy.</t>
        </is>
      </c>
      <c r="J16" s="2" t="inlineStr">
        <is>
          <t>6.6% of prior-year net revenue, where net revenue = total revenue less debt exclusions, free cash and non-appropriated items ($10.79M in FY2027, +2.38%/yr). From FY2028.</t>
        </is>
      </c>
      <c r="K16" s="2" t="inlineStr">
        <is>
          <t>No. Base case choice (2026-10-13).</t>
        </is>
      </c>
      <c r="L16" s="2" t="inlineStr">
        <is>
          <t>Net revenue grows non-appropriated items 2.38%/yr while the spending line for them is flat after FY2031.</t>
        </is>
      </c>
      <c r="M16" s="2" t="inlineStr">
        <is>
          <t>expense_driver_forecast.py:504-510; CIP_POLICY_SHARE :265; NON_APPROP_FY27 :268</t>
        </is>
      </c>
    </row>
    <row r="17">
      <c r="A17" s="9" t="inlineStr">
        <is>
          <t>Non-departmental</t>
        </is>
      </c>
      <c r="B17" s="9" t="inlineStr">
        <is>
          <t>General non-departmental (insurance, audit, stabilization, other)</t>
        </is>
      </c>
      <c r="C17" s="10" t="n">
        <v>7611957</v>
      </c>
      <c r="D17" s="10" t="n">
        <v>8845193</v>
      </c>
      <c r="E17" s="10" t="n">
        <v>8845193</v>
      </c>
      <c r="F17" s="11">
        <f>C17/C$21</f>
        <v/>
      </c>
      <c r="G17" s="11">
        <f>IF(AND(C17&gt;0,D17&gt;0),(D17/C17)^(1/4)-1,"n/a")</f>
        <v/>
      </c>
      <c r="H17" s="11">
        <f>IF(D17&gt;0,(E17/D17)^(1/9)-1,"n/a")</f>
        <v/>
      </c>
      <c r="I17" s="9" t="inlineStr">
        <is>
          <t>Property and liability insurance, audit, stabilization deposits and other Town-wide costs.</t>
        </is>
      </c>
      <c r="J17" s="9" t="inlineStr">
        <is>
          <t>FY2028-31 the Town's plan (grows 3.8%/yr FY2027-31); FY2032-40 held at the FY2031 figure, $8.85M.</t>
        </is>
      </c>
      <c r="K17" s="9" t="inlineStr">
        <is>
          <t>Yes, FY2028-31. Flat in dollars after.</t>
        </is>
      </c>
      <c r="L17" s="12" t="inlineStr">
        <is>
          <t>FLAT IN DOLLARS FY2032-40.</t>
        </is>
      </c>
      <c r="M17" s="9" t="inlineStr">
        <is>
          <t>baseline_expense_forecast.py:772-780</t>
        </is>
      </c>
    </row>
    <row r="18">
      <c r="A18" s="9" t="inlineStr">
        <is>
          <t>Non-departmental</t>
        </is>
      </c>
      <c r="B18" s="9" t="inlineStr">
        <is>
          <t>Reserve fund</t>
        </is>
      </c>
      <c r="C18" s="10" t="n">
        <v>3570679</v>
      </c>
      <c r="D18" s="10" t="n">
        <v>4056845</v>
      </c>
      <c r="E18" s="10" t="n">
        <v>4056845</v>
      </c>
      <c r="F18" s="11">
        <f>C18/C$21</f>
        <v/>
      </c>
      <c r="G18" s="11">
        <f>IF(AND(C18&gt;0,D18&gt;0),(D18/C18)^(1/4)-1,"n/a")</f>
        <v/>
      </c>
      <c r="H18" s="11">
        <f>IF(D18&gt;0,(E18/D18)^(1/9)-1,"n/a")</f>
        <v/>
      </c>
      <c r="I18" s="9" t="inlineStr">
        <is>
          <t>The Advisory Committee's fund for unforeseen expenses during the year.</t>
        </is>
      </c>
      <c r="J18" s="9" t="inlineStr">
        <is>
          <t>FY2028-31 the Town's plan (3.2%/yr); FY2032-40 held at $4.06M.</t>
        </is>
      </c>
      <c r="K18" s="9" t="inlineStr">
        <is>
          <t>Yes, FY2028-31. Flat in dollars after.</t>
        </is>
      </c>
      <c r="L18" s="12" t="inlineStr">
        <is>
          <t>FLAT IN DOLLARS FY2032-40.</t>
        </is>
      </c>
      <c r="M18" s="9" t="inlineStr">
        <is>
          <t>baseline_expense_forecast.py:773, :780</t>
        </is>
      </c>
    </row>
    <row r="19">
      <c r="A19" s="9" t="inlineStr">
        <is>
          <t>Non-departmental</t>
        </is>
      </c>
      <c r="B19" s="9" t="inlineStr">
        <is>
          <t>Non-appropriated (state and county assessments, MBTA, cherry-sheet offsets, overlay)</t>
        </is>
      </c>
      <c r="C19" s="10" t="n">
        <v>10792034</v>
      </c>
      <c r="D19" s="10" t="n">
        <v>11977091</v>
      </c>
      <c r="E19" s="10" t="n">
        <v>11977091</v>
      </c>
      <c r="F19" s="11">
        <f>C19/C$21</f>
        <v/>
      </c>
      <c r="G19" s="11">
        <f>IF(AND(C19&gt;0,D19&gt;0),(D19/C19)^(1/4)-1,"n/a")</f>
        <v/>
      </c>
      <c r="H19" s="11">
        <f>IF(D19&gt;0,(E19/D19)^(1/9)-1,"n/a")</f>
        <v/>
      </c>
      <c r="I19" s="9" t="inlineStr">
        <is>
          <t>Charges taken off the top before appropriation: state assessments such as the MBTA, charter school tuition and county tax, plus the overlay reserve for abatements.</t>
        </is>
      </c>
      <c r="J19" s="9" t="inlineStr">
        <is>
          <t>FY2027 adopted $10.79M; FY2028-31 the Town's plan (2.4%/yr); FY2032-40 held at $11.98M.</t>
        </is>
      </c>
      <c r="K19" s="9" t="inlineStr">
        <is>
          <t>Yes, FY2028-31. Flat in dollars after.</t>
        </is>
      </c>
      <c r="L19" s="12" t="inlineStr">
        <is>
          <t>FLAT IN DOLLARS FY2032-40, while the capital policy's net revenue grows the same items 2.38%/yr.</t>
        </is>
      </c>
      <c r="M19" s="9" t="inlineStr">
        <is>
          <t>baseline_expense_forecast.py:740, :774, :781</t>
        </is>
      </c>
    </row>
    <row r="20">
      <c r="A20" s="2" t="inlineStr">
        <is>
          <t>Non-departmental</t>
        </is>
      </c>
      <c r="B20" s="2" t="inlineStr">
        <is>
          <t>FY2027 one-time and grouping difference (Override Stabilization Fund deposit and other)</t>
        </is>
      </c>
      <c r="C20" s="7" t="n">
        <v>4447184</v>
      </c>
      <c r="D20" s="7" t="n">
        <v>0</v>
      </c>
      <c r="E20" s="7" t="n">
        <v>0</v>
      </c>
      <c r="F20" s="8">
        <f>C20/C$21</f>
        <v/>
      </c>
      <c r="G20" s="8">
        <f>IF(AND(C20&gt;0,D20&gt;0),(D20/C20)^(1/4)-1,"n/a")</f>
        <v/>
      </c>
      <c r="H20" s="8">
        <f>IF(D20&gt;0,(E20/D20)^(1/9)-1,"n/a")</f>
        <v/>
      </c>
      <c r="I20" s="2" t="inlineStr">
        <is>
          <t>The adopted FY2027 budget's general line ($15.61M) includes a $3.57M one-time deposit to the new Override Stabilization Fund (drawn back as revenue FY2028-30) and $15,000 for vocational education; this row is that budget less the Town plan's general and reserve fund lines.</t>
        </is>
      </c>
      <c r="J20" s="2" t="inlineStr">
        <is>
          <t>FY2027 only.</t>
        </is>
      </c>
      <c r="K20" s="2" t="inlineStr">
        <is>
          <t>n/a</t>
        </is>
      </c>
      <c r="L20" s="2" t="inlineStr">
        <is>
          <t>One-time; explains part of the FY2027 to FY2028 drop in non-departmental spending.</t>
        </is>
      </c>
      <c r="M20" s="2" t="inlineStr">
        <is>
          <t>fy2027_adopted.py (SUBTOTAL_GENERAL, OVERRIDE_STABILIZATION_FUND)</t>
        </is>
      </c>
    </row>
    <row r="21">
      <c r="A21" s="13" t="n"/>
      <c r="B21" s="14" t="inlineStr">
        <is>
          <t>Total of the categories above</t>
        </is>
      </c>
      <c r="C21" s="15">
        <f>SUM(C5:C20)</f>
        <v/>
      </c>
      <c r="D21" s="15">
        <f>SUM(D5:D20)</f>
        <v/>
      </c>
      <c r="E21" s="15">
        <f>SUM(E5:E20)</f>
        <v/>
      </c>
      <c r="F21" s="16">
        <f>C21/C21</f>
        <v/>
      </c>
      <c r="G21" s="16">
        <f>(D21/C21)^(1/4)-1</f>
        <v/>
      </c>
      <c r="H21" s="16">
        <f>(E21/D21)^(1/9)-1</f>
        <v/>
      </c>
      <c r="I21" s="13" t="n"/>
      <c r="J21" s="13" t="n"/>
      <c r="K21" s="13" t="n"/>
      <c r="L21" s="13" t="n"/>
      <c r="M21" s="13" t="n"/>
    </row>
    <row r="22">
      <c r="B22" s="17" t="inlineStr">
        <is>
          <t>Model total: operating_expenditure</t>
        </is>
      </c>
      <c r="C22" s="18" t="n">
        <v>415288675</v>
      </c>
      <c r="D22" s="18" t="n">
        <v>483217615.4592063</v>
      </c>
      <c r="E22" s="18" t="n">
        <v>685276668.0486755</v>
      </c>
    </row>
    <row r="23">
      <c r="B23" s="19" t="inlineStr">
        <is>
          <t>Difference (sum check, should be $0)</t>
        </is>
      </c>
      <c r="C23" s="20">
        <f>ROUND(C21-C22,0)</f>
        <v/>
      </c>
      <c r="D23" s="20">
        <f>ROUND(D21-D22,0)</f>
        <v/>
      </c>
      <c r="E23" s="20">
        <f>ROUND(E21-E22,0)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4" customWidth="1" min="4" max="4"/>
    <col width="14" customWidth="1" min="5" max="5"/>
    <col width="10" customWidth="1" min="6" max="6"/>
    <col width="11" customWidth="1" min="7" max="7"/>
    <col width="11" customWidth="1" min="8" max="8"/>
    <col width="48" customWidth="1" min="9" max="9"/>
    <col width="55" customWidth="1" min="10" max="10"/>
    <col width="32" customWidth="1" min="11" max="11"/>
    <col width="38" customWidth="1" min="12" max="12"/>
    <col width="34" customWidth="1" min="13" max="13"/>
  </cols>
  <sheetData>
    <row r="1">
      <c r="A1" s="4" t="inlineStr">
        <is>
          <t>Revenue: what drives each line (base case, operating basis)</t>
        </is>
      </c>
    </row>
    <row r="2">
      <c r="A2" s="5" t="inlineStr">
        <is>
          <t>Operating revenue excludes the debt-exclusion tax. Dollars are nominal.</t>
        </is>
      </c>
    </row>
    <row r="4">
      <c r="A4" s="6" t="inlineStr">
        <is>
          <t>Group</t>
        </is>
      </c>
      <c r="B4" s="6" t="inlineStr">
        <is>
          <t>Category</t>
        </is>
      </c>
      <c r="C4" s="6" t="inlineStr">
        <is>
          <t>FY2027 ($)</t>
        </is>
      </c>
      <c r="D4" s="6" t="inlineStr">
        <is>
          <t>FY2031 ($)</t>
        </is>
      </c>
      <c r="E4" s="6" t="inlineStr">
        <is>
          <t>FY2040 ($)</t>
        </is>
      </c>
      <c r="F4" s="6" t="inlineStr">
        <is>
          <t>Share of FY2027</t>
        </is>
      </c>
      <c r="G4" s="6" t="inlineStr">
        <is>
          <t>Growth FY2027-31 (%/yr)</t>
        </is>
      </c>
      <c r="H4" s="6" t="inlineStr">
        <is>
          <t>Growth FY2031-40 (%/yr)</t>
        </is>
      </c>
      <c r="I4" s="6" t="inlineStr">
        <is>
          <t>What drives it</t>
        </is>
      </c>
      <c r="J4" s="6" t="inlineStr">
        <is>
          <t>Numbers the model uses</t>
        </is>
      </c>
      <c r="K4" s="6" t="inlineStr">
        <is>
          <t>Held to the Town's plan?</t>
        </is>
      </c>
      <c r="L4" s="6" t="inlineStr">
        <is>
          <t>Flag</t>
        </is>
      </c>
      <c r="M4" s="6" t="inlineStr">
        <is>
          <t>Source (file:line)</t>
        </is>
      </c>
    </row>
    <row r="5">
      <c r="A5" s="2" t="inlineStr">
        <is>
          <t>Property tax</t>
        </is>
      </c>
      <c r="B5" s="2" t="inlineStr">
        <is>
          <t>Levy within the limit, excluding the May 2026 override</t>
        </is>
      </c>
      <c r="C5" s="7" t="n">
        <v>316427408</v>
      </c>
      <c r="D5" s="7" t="n">
        <v>367369824.4665743</v>
      </c>
      <c r="E5" s="7" t="n">
        <v>520457308.5650585</v>
      </c>
      <c r="F5" s="8">
        <f>C5/C$11</f>
        <v/>
      </c>
      <c r="G5" s="8">
        <f>IF(AND(C5&gt;0,D5&gt;0),(D5/C5)^(1/4)-1,"n/a")</f>
        <v/>
      </c>
      <c r="H5" s="8">
        <f>IF(D5&gt;0,(E5/D5)^(1/9)-1,"n/a")</f>
        <v/>
      </c>
      <c r="I5" s="2" t="inlineStr">
        <is>
          <t>Last year's levy plus 2.5% plus new growth.</t>
        </is>
      </c>
      <c r="J5" s="2" t="inlineStr">
        <is>
          <t>FY2026-31: the Town plan's levy (2.5% plus its flat $2.5M of new growth) plus a carried difference for our new growth, diff(t) = diff(t-1) x 1.025 + (new growth - $2.5M). FY2032 on: prior levy x 1.025 + new growth.</t>
        </is>
      </c>
      <c r="K5" s="2" t="inlineStr">
        <is>
          <t>Partly, FY2026-31 (delta method on the Town's levy; new growth now measured on our own levy). Own rule after.</t>
        </is>
      </c>
      <c r="L5" s="2" t="inlineStr"/>
      <c r="M5" s="2" t="inlineStr">
        <is>
          <t>new_growth_scenario_forecast.py:790-858</t>
        </is>
      </c>
    </row>
    <row r="6">
      <c r="A6" s="2" t="inlineStr">
        <is>
          <t>Property tax</t>
        </is>
      </c>
      <c r="B6" s="2" t="inlineStr">
        <is>
          <t>May 2026 operating override (cumulative, compounding)</t>
        </is>
      </c>
      <c r="C6" s="7" t="n">
        <v>9852330</v>
      </c>
      <c r="D6" s="7" t="n">
        <v>25102882.53342577</v>
      </c>
      <c r="E6" s="7" t="n">
        <v>31350060.43494149</v>
      </c>
      <c r="F6" s="8">
        <f>C6/C$11</f>
        <v/>
      </c>
      <c r="G6" s="8">
        <f>IF(AND(C6&gt;0,D6&gt;0),(D6/C6)^(1/4)-1,"n/a")</f>
        <v/>
      </c>
      <c r="H6" s="8">
        <f>IF(D6&gt;0,(E6/D6)^(1/9)-1,"n/a")</f>
        <v/>
      </c>
      <c r="I6" s="2" t="inlineStr">
        <is>
          <t>The override's three tranches, each compounding at 2.5% once in the levy.</t>
        </is>
      </c>
      <c r="J6" s="2" t="inlineStr">
        <is>
          <t>$9.85M FY2027, $5.60M FY2028, $7.80M FY2029; then 2.5%/yr.</t>
        </is>
      </c>
      <c r="K6" s="2" t="inlineStr">
        <is>
          <t>Uses the override's adopted schedule.</t>
        </is>
      </c>
      <c r="L6" s="2" t="inlineStr">
        <is>
          <t>Straight compounding. The forecast's 'room without the override' uses a larger value ($27.3M FY2031, $38.2M FY2040, base_case_decomposition.py:223, written 2026-09-30) that also counts new growth and free cash earned on the larger levy.</t>
        </is>
      </c>
      <c r="M6" s="2" t="inlineStr">
        <is>
          <t>new_growth_scenario_forecast.py:210-220</t>
        </is>
      </c>
    </row>
    <row r="7">
      <c r="A7" s="2" t="inlineStr">
        <is>
          <t>Other revenue</t>
        </is>
      </c>
      <c r="B7" s="2" t="inlineStr">
        <is>
          <t>State aid</t>
        </is>
      </c>
      <c r="C7" s="7" t="n">
        <v>26773287</v>
      </c>
      <c r="D7" s="7" t="n">
        <v>30771226</v>
      </c>
      <c r="E7" s="7" t="n">
        <v>42086400</v>
      </c>
      <c r="F7" s="8">
        <f>C7/C$11</f>
        <v/>
      </c>
      <c r="G7" s="8">
        <f>IF(AND(C7&gt;0,D7&gt;0),(D7/C7)^(1/4)-1,"n/a")</f>
        <v/>
      </c>
      <c r="H7" s="8">
        <f>IF(D7&gt;0,(E7/D7)^(1/9)-1,"n/a")</f>
        <v/>
      </c>
      <c r="I7" s="2" t="inlineStr">
        <is>
          <t>Chapter 70 school aid and unrestricted local aid from the state budget.</t>
        </is>
      </c>
      <c r="J7" s="2" t="inlineStr">
        <is>
          <t>FY2025 actual x 3.54%/yr, the FY2015-25 growth rate.</t>
        </is>
      </c>
      <c r="K7" s="2" t="inlineStr">
        <is>
          <t>No. Own trend from FY2026 (the Town's plan grows it about 2.5%/yr).</t>
        </is>
      </c>
      <c r="L7" s="2" t="inlineStr">
        <is>
          <t>Faster than the Town's plan and than FY2011-25 overall (about 4.4%/yr there includes the FY2025 jump; FY2015-25 is 3.5%).</t>
        </is>
      </c>
      <c r="M7" s="2" t="inlineStr">
        <is>
          <t>new_growth_scenario_forecast.py:894</t>
        </is>
      </c>
    </row>
    <row r="8">
      <c r="A8" s="2" t="inlineStr">
        <is>
          <t>Other revenue</t>
        </is>
      </c>
      <c r="B8" s="2" t="inlineStr">
        <is>
          <t>Local receipts (budgeted)</t>
        </is>
      </c>
      <c r="C8" s="7" t="n">
        <v>37633556</v>
      </c>
      <c r="D8" s="7" t="n">
        <v>42315554</v>
      </c>
      <c r="E8" s="7" t="n">
        <v>59057614</v>
      </c>
      <c r="F8" s="8">
        <f>C8/C$11</f>
        <v/>
      </c>
      <c r="G8" s="8">
        <f>IF(AND(C8&gt;0,D8&gt;0),(D8/C8)^(1/4)-1,"n/a")</f>
        <v/>
      </c>
      <c r="H8" s="8">
        <f>IF(D8&gt;0,(E8/D8)^(1/9)-1,"n/a")</f>
        <v/>
      </c>
      <c r="I8" s="2" t="inlineStr">
        <is>
          <t>Excise taxes, fees, permits, meals and rooms tax, interest. Budgeted below expected collections; the excess comes back as free cash.</t>
        </is>
      </c>
      <c r="J8" s="2" t="inlineStr">
        <is>
          <t>Budget = 74.4% of forecast collections (FY2025 practice). Collections = FY2025 base (ex meals and permits) x 3.31%/yr (FY2019-25) + meals tax 5.96%/yr + building permits at 2.1% of new real estate value + Chestnut Hill rooms tax and excise. FY2027 adopted $37.63M.</t>
        </is>
      </c>
      <c r="K8" s="2" t="inlineStr">
        <is>
          <t>No. Own rule from FY2028.</t>
        </is>
      </c>
      <c r="L8" s="2" t="inlineStr"/>
      <c r="M8" s="2" t="inlineStr">
        <is>
          <t>new_growth_scenario_forecast.py:976; revenue_cash_cycle.py:68</t>
        </is>
      </c>
    </row>
    <row r="9">
      <c r="A9" s="2" t="inlineStr">
        <is>
          <t>Other revenue</t>
        </is>
      </c>
      <c r="B9" s="2" t="inlineStr">
        <is>
          <t>Free cash used in the budget</t>
        </is>
      </c>
      <c r="C9" s="7" t="n">
        <v>18280805</v>
      </c>
      <c r="D9" s="7" t="n">
        <v>25786290</v>
      </c>
      <c r="E9" s="7" t="n">
        <v>35629458</v>
      </c>
      <c r="F9" s="8">
        <f>C9/C$11</f>
        <v/>
      </c>
      <c r="G9" s="8">
        <f>IF(AND(C9&gt;0,D9&gt;0),(D9/C9)^(1/4)-1,"n/a")</f>
        <v/>
      </c>
      <c r="H9" s="8">
        <f>IF(D9&gt;0,(E9/D9)^(1/9)-1,"n/a")</f>
        <v/>
      </c>
      <c r="I9" s="2" t="inlineStr">
        <is>
          <t>Last-but-one year's surplus, certified by the state and appropriated two years later. Funds capital and one-time items.</t>
        </is>
      </c>
      <c r="J9" s="2" t="inlineStr">
        <is>
          <t>FY2027 adopted $18.28M. Then 83.6% of the surplus two years earlier; surplus = excess receipts + 3.48% of that year's revenue (FY2022-25 average).</t>
        </is>
      </c>
      <c r="K9" s="2" t="inlineStr">
        <is>
          <t>No. Own rule from FY2028.</t>
        </is>
      </c>
      <c r="L9" s="2" t="inlineStr"/>
      <c r="M9" s="2" t="inlineStr">
        <is>
          <t>revenue_cash_cycle.py:76-90</t>
        </is>
      </c>
    </row>
    <row r="10">
      <c r="A10" s="9" t="inlineStr">
        <is>
          <t>Other revenue</t>
        </is>
      </c>
      <c r="B10" s="9" t="inlineStr">
        <is>
          <t>Other available funds</t>
        </is>
      </c>
      <c r="C10" s="10" t="n">
        <v>8755561</v>
      </c>
      <c r="D10" s="10" t="n">
        <v>4311795</v>
      </c>
      <c r="E10" s="10" t="n">
        <v>4311795</v>
      </c>
      <c r="F10" s="11">
        <f>C10/C$11</f>
        <v/>
      </c>
      <c r="G10" s="11">
        <f>IF(AND(C10&gt;0,D10&gt;0),(D10/C10)^(1/4)-1,"n/a")</f>
        <v/>
      </c>
      <c r="H10" s="11">
        <f>IF(D10&gt;0,(E10/D10)^(1/9)-1,"n/a")</f>
        <v/>
      </c>
      <c r="I10" s="9" t="inlineStr">
        <is>
          <t>Transfers from other funds (parking, cemetery, stabilization draws).</t>
        </is>
      </c>
      <c r="J10" s="9" t="inlineStr">
        <is>
          <t>FY2027 adopted $8.76M; FY2028-31 Town plan plus $1.19M/yr draw of the Override Stabilization Fund FY2028-30; held at $4.31M after FY2031.</t>
        </is>
      </c>
      <c r="K10" s="9" t="inlineStr">
        <is>
          <t>Yes, FY2028-31. Flat in dollars after.</t>
        </is>
      </c>
      <c r="L10" s="12" t="inlineStr">
        <is>
          <t>FLAT IN DOLLARS FY2032-40 (revenue side; small and cautious).</t>
        </is>
      </c>
      <c r="M10" s="9" t="inlineStr">
        <is>
          <t>new_growth_scenario_forecast.py:897-902</t>
        </is>
      </c>
    </row>
    <row r="11">
      <c r="A11" s="13" t="n"/>
      <c r="B11" s="14" t="inlineStr">
        <is>
          <t>Total of the categories above</t>
        </is>
      </c>
      <c r="C11" s="15">
        <f>SUM(C5:C10)</f>
        <v/>
      </c>
      <c r="D11" s="15">
        <f>SUM(D5:D10)</f>
        <v/>
      </c>
      <c r="E11" s="15">
        <f>SUM(E5:E10)</f>
        <v/>
      </c>
      <c r="F11" s="16">
        <f>C11/C11</f>
        <v/>
      </c>
      <c r="G11" s="16">
        <f>(D11/C11)^(1/4)-1</f>
        <v/>
      </c>
      <c r="H11" s="16">
        <f>(E11/D11)^(1/9)-1</f>
        <v/>
      </c>
      <c r="I11" s="13" t="n"/>
      <c r="J11" s="13" t="n"/>
      <c r="K11" s="13" t="n"/>
      <c r="L11" s="13" t="n"/>
      <c r="M11" s="13" t="n"/>
    </row>
    <row r="12">
      <c r="B12" s="17" t="inlineStr">
        <is>
          <t>Model total: operating_revenue</t>
        </is>
      </c>
      <c r="C12" s="18" t="n">
        <v>417722947</v>
      </c>
      <c r="D12" s="18" t="n">
        <v>495657572</v>
      </c>
      <c r="E12" s="18" t="n">
        <v>692892636</v>
      </c>
    </row>
    <row r="13">
      <c r="B13" s="19" t="inlineStr">
        <is>
          <t>Difference (sum check, should be $0)</t>
        </is>
      </c>
      <c r="C13" s="20">
        <f>ROUND(C11-C12,0)</f>
        <v/>
      </c>
      <c r="D13" s="20">
        <f>ROUND(D11-D12,0)</f>
        <v/>
      </c>
      <c r="E13" s="20">
        <f>ROUND(E11-E12,0)</f>
        <v/>
      </c>
    </row>
    <row r="15">
      <c r="B15" s="19" t="inlineStr">
        <is>
          <t>Memo lines (not added above)</t>
        </is>
      </c>
    </row>
    <row r="16">
      <c r="B16" s="2" t="inlineStr">
        <is>
          <t>New growth added in the year (included in the levy above)</t>
        </is>
      </c>
      <c r="C16" s="7" t="n">
        <v>3766984</v>
      </c>
      <c r="D16" s="7" t="n">
        <v>4672519</v>
      </c>
      <c r="E16" s="7" t="n">
        <v>6569452</v>
      </c>
      <c r="G16" s="8">
        <f>IF(AND(C16&gt;0,D16&gt;0),(D16/C16)^(1/4)-1,"n/a")</f>
        <v/>
      </c>
      <c r="H16" s="8">
        <f>IF(D16&gt;0,(E16/D16)^(1/9)-1,"n/a")</f>
        <v/>
      </c>
      <c r="J16" s="2" t="inlineStr">
        <is>
          <t>1.235% of prior levy: new homes 0.207%, home renovation 0.644%, new commercial 0.008%, commercial renovation 0.135%, business equipment 0.241% (FY2022-26 rates); FY2026 certified $3.56M; Chestnut Hill adds $4.54M phased in FY2032-34.</t>
        </is>
      </c>
      <c r="M16" s="2" t="inlineStr">
        <is>
          <t>new_growth_scenario_forecast.py:467-537, :756-788</t>
        </is>
      </c>
    </row>
    <row r="17">
      <c r="B17" s="2" t="inlineStr">
        <is>
          <t>2.5% increase in the year on the whole levy (derived: levy change less new growth and new override tranche)</t>
        </is>
      </c>
      <c r="C17" s="7" t="n">
        <v>7641476</v>
      </c>
      <c r="D17" s="7" t="n">
        <v>9458542</v>
      </c>
      <c r="E17" s="7" t="n">
        <v>13298485</v>
      </c>
      <c r="G17" s="8">
        <f>IF(AND(C17&gt;0,D17&gt;0),(D17/C17)^(1/4)-1,"n/a")</f>
        <v/>
      </c>
      <c r="H17" s="8">
        <f>IF(D17&gt;0,(E17/D17)^(1/9)-1,"n/a")</f>
        <v/>
      </c>
      <c r="J17" s="2" t="inlineStr">
        <is>
          <t>2.5% of prior levy; FY2027-31 reflects the Town plan's levy.</t>
        </is>
      </c>
      <c r="M17" s="2" t="inlineStr">
        <is>
          <t>derived</t>
        </is>
      </c>
    </row>
    <row r="18">
      <c r="B18" s="2" t="inlineStr">
        <is>
          <t>Debt exclusions (outside the operating comparison, both sides)</t>
        </is>
      </c>
      <c r="C18" s="7" t="n">
        <v>35379833</v>
      </c>
      <c r="D18" s="7" t="n">
        <v>36720930</v>
      </c>
      <c r="E18" s="7" t="n">
        <v>36720930</v>
      </c>
      <c r="G18" s="8">
        <f>IF(AND(C18&gt;0,D18&gt;0),(D18/C18)^(1/4)-1,"n/a")</f>
        <v/>
      </c>
      <c r="H18" s="8">
        <f>IF(D18&gt;0,(E18/D18)^(1/9)-1,"n/a")</f>
        <v/>
      </c>
      <c r="J18" s="2" t="inlineStr">
        <is>
          <t>Town plan through FY2031, flat after; matched by excluded debt service.</t>
        </is>
      </c>
      <c r="M18" s="2" t="inlineStr">
        <is>
          <t>new_growth_scenario_forecast.py:858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15" customWidth="1" min="4" max="4"/>
    <col width="14" customWidth="1" min="5" max="5"/>
    <col width="40" customWidth="1" min="6" max="6"/>
    <col width="14" customWidth="1" min="7" max="7"/>
    <col width="60" customWidth="1" min="8" max="8"/>
  </cols>
  <sheetData>
    <row r="1">
      <c r="A1" s="4" t="inlineStr">
        <is>
          <t>The record: FY2011 to FY2025, next to the forecast</t>
        </is>
      </c>
    </row>
    <row r="2">
      <c r="A2" s="5" t="inlineStr">
        <is>
          <t>Schedule A categories (state's actual-spending report) do not line up exactly with budget lines; the closest forecast line is named. Forecast rate is FY2027-40.</t>
        </is>
      </c>
    </row>
    <row r="4">
      <c r="A4" s="6" t="inlineStr">
        <is>
          <t>Group</t>
        </is>
      </c>
      <c r="B4" s="6" t="inlineStr">
        <is>
          <t>Category</t>
        </is>
      </c>
      <c r="C4" s="6" t="inlineStr">
        <is>
          <t>FY2011 ($)</t>
        </is>
      </c>
      <c r="D4" s="6" t="inlineStr">
        <is>
          <t>FY2025 ($)</t>
        </is>
      </c>
      <c r="E4" s="6" t="inlineStr">
        <is>
          <t>Growth FY2011-25 (%/yr)</t>
        </is>
      </c>
      <c r="F4" s="6" t="inlineStr">
        <is>
          <t>Closest forecast line</t>
        </is>
      </c>
      <c r="G4" s="6" t="inlineStr">
        <is>
          <t>Forecast growth FY2027-40 (%/yr)</t>
        </is>
      </c>
      <c r="H4" s="6" t="inlineStr">
        <is>
          <t>Note</t>
        </is>
      </c>
    </row>
    <row r="5">
      <c r="A5" s="2" t="inlineStr">
        <is>
          <t>Spending</t>
        </is>
      </c>
      <c r="B5" s="2" t="inlineStr">
        <is>
          <t>Education (Schedule A)</t>
        </is>
      </c>
      <c r="C5" s="7" t="n">
        <v>77435614</v>
      </c>
      <c r="D5" s="7" t="n">
        <v>146446110</v>
      </c>
      <c r="E5" s="8">
        <f>(D5/C5)^(1/14)-1</f>
        <v/>
      </c>
      <c r="F5" s="2" t="inlineStr">
        <is>
          <t>School Department</t>
        </is>
      </c>
      <c r="G5" s="21">
        <f>('Spending drivers'!E5/'Spending drivers'!C5)^(1/13)-1</f>
        <v/>
      </c>
      <c r="H5" s="2" t="inlineStr">
        <is>
          <t>Schedule A education; enrollment 6,627 to 7,023, students per staff 6.75 to 5.62.</t>
        </is>
      </c>
    </row>
    <row r="6">
      <c r="A6" s="2" t="inlineStr">
        <is>
          <t>Spending</t>
        </is>
      </c>
      <c r="B6" s="2" t="inlineStr">
        <is>
          <t>Public safety (Schedule A)</t>
        </is>
      </c>
      <c r="C6" s="7" t="n">
        <v>28030700</v>
      </c>
      <c r="D6" s="7" t="n">
        <v>43497816</v>
      </c>
      <c r="E6" s="8">
        <f>(D6/C6)^(1/14)-1</f>
        <v/>
      </c>
      <c r="F6" s="2" t="inlineStr">
        <is>
          <t>Public safety personnel (police and fire)</t>
        </is>
      </c>
      <c r="G6" s="21">
        <f>('Spending drivers'!E6/'Spending drivers'!C6)^(1/13)-1</f>
        <v/>
      </c>
      <c r="H6" s="2" t="inlineStr"/>
    </row>
    <row r="7">
      <c r="A7" s="2" t="inlineStr">
        <is>
          <t>Spending</t>
        </is>
      </c>
      <c r="B7" s="2" t="inlineStr">
        <is>
          <t>General government, public works, human services, culture (Schedule A)</t>
        </is>
      </c>
      <c r="C7" s="7" t="n">
        <v>29201951</v>
      </c>
      <c r="D7" s="7" t="n">
        <v>41124798</v>
      </c>
      <c r="E7" s="8">
        <f>(D7/C7)^(1/14)-1</f>
        <v/>
      </c>
      <c r="F7" s="2" t="inlineStr">
        <is>
          <t>All other town department costs</t>
        </is>
      </c>
      <c r="G7" s="21">
        <f>('Spending drivers'!E7/'Spending drivers'!C7)^(1/13)-1</f>
        <v/>
      </c>
      <c r="H7" s="2" t="inlineStr"/>
    </row>
    <row r="8">
      <c r="A8" s="2" t="inlineStr">
        <is>
          <t>Spending</t>
        </is>
      </c>
      <c r="B8" s="2" t="inlineStr">
        <is>
          <t>Fixed costs, mostly benefits (Schedule A)</t>
        </is>
      </c>
      <c r="C8" s="7" t="n">
        <v>37512887</v>
      </c>
      <c r="D8" s="7" t="n">
        <v>89361296</v>
      </c>
      <c r="E8" s="8">
        <f>(D8/C8)^(1/14)-1</f>
        <v/>
      </c>
      <c r="F8" s="2" t="inlineStr"/>
      <c r="G8" s="8" t="n"/>
      <c r="H8" s="2" t="inlineStr">
        <is>
          <t>Benefits plus insurance; the forecast splits this into health, pensions, OPEB and other benefits (rows below).</t>
        </is>
      </c>
    </row>
    <row r="9">
      <c r="A9" s="2" t="inlineStr">
        <is>
          <t>Spending</t>
        </is>
      </c>
      <c r="B9" s="2" t="inlineStr">
        <is>
          <t>State and county assessments (Schedule A)</t>
        </is>
      </c>
      <c r="C9" s="7" t="n">
        <v>5576032</v>
      </c>
      <c r="D9" s="7" t="n">
        <v>7959725</v>
      </c>
      <c r="E9" s="8">
        <f>(D9/C9)^(1/14)-1</f>
        <v/>
      </c>
      <c r="F9" s="2" t="inlineStr">
        <is>
          <t>Non-appropriated (state and county assessments, MBTA, cherry-sheet offsets, overlay)</t>
        </is>
      </c>
      <c r="G9" s="21">
        <f>('Spending drivers'!E19/'Spending drivers'!C19)^(1/13)-1</f>
        <v/>
      </c>
      <c r="H9" s="2" t="inlineStr"/>
    </row>
    <row r="10">
      <c r="A10" s="2" t="inlineStr">
        <is>
          <t>Spending</t>
        </is>
      </c>
      <c r="B10" s="2" t="inlineStr">
        <is>
          <t>Debt service, all (Schedule A)</t>
        </is>
      </c>
      <c r="C10" s="7" t="n">
        <v>9491021</v>
      </c>
      <c r="D10" s="7" t="n">
        <v>36286410</v>
      </c>
      <c r="E10" s="8">
        <f>(D10/C10)^(1/14)-1</f>
        <v/>
      </c>
      <c r="F10" s="2" t="inlineStr"/>
      <c r="G10" s="8" t="n"/>
      <c r="H10" s="2" t="inlineStr">
        <is>
          <t>Includes excluded debt for school buildings, which the operating forecast leaves out.</t>
        </is>
      </c>
    </row>
    <row r="11">
      <c r="A11" s="2" t="inlineStr">
        <is>
          <t>Spending</t>
        </is>
      </c>
      <c r="B11" s="2" t="inlineStr">
        <is>
          <t>Total expenditures (Schedule A)</t>
        </is>
      </c>
      <c r="C11" s="7" t="n">
        <v>187248205</v>
      </c>
      <c r="D11" s="7" t="n">
        <v>364676155</v>
      </c>
      <c r="E11" s="8">
        <f>(D11/C11)^(1/14)-1</f>
        <v/>
      </c>
      <c r="F11" s="2" t="inlineStr"/>
      <c r="G11" s="8" t="n"/>
      <c r="H11" s="2" t="inlineStr"/>
    </row>
    <row r="12">
      <c r="A12" s="2" t="inlineStr">
        <is>
          <t>Revenue</t>
        </is>
      </c>
      <c r="B12" s="2" t="inlineStr">
        <is>
          <t>Prior-year levy limit</t>
        </is>
      </c>
      <c r="C12" s="7" t="n">
        <v>151047972</v>
      </c>
      <c r="D12" s="7" t="n">
        <v>282862062</v>
      </c>
      <c r="E12" s="8">
        <f>(D12/C12)^(1/14)-1</f>
        <v/>
      </c>
      <c r="F12" s="2" t="inlineStr"/>
      <c r="G12" s="8" t="n"/>
      <c r="H12" s="2" t="inlineStr"/>
    </row>
    <row r="13">
      <c r="A13" s="2" t="inlineStr">
        <is>
          <t>Revenue</t>
        </is>
      </c>
      <c r="B13" s="2" t="inlineStr">
        <is>
          <t>Total levy incl. debt exclusions</t>
        </is>
      </c>
      <c r="C13" s="7" t="n">
        <v>157878286</v>
      </c>
      <c r="D13" s="7" t="n">
        <v>312568372</v>
      </c>
      <c r="E13" s="8">
        <f>(D13/C13)^(1/14)-1</f>
        <v/>
      </c>
      <c r="F13" s="2" t="inlineStr"/>
      <c r="G13" s="8" t="n"/>
      <c r="H13" s="2" t="inlineStr"/>
    </row>
    <row r="14">
      <c r="A14" s="2" t="inlineStr">
        <is>
          <t>Revenue</t>
        </is>
      </c>
      <c r="B14" s="2" t="inlineStr">
        <is>
          <t>State aid (recap)</t>
        </is>
      </c>
      <c r="C14" s="7" t="n">
        <v>13796542</v>
      </c>
      <c r="D14" s="7" t="n">
        <v>24973542</v>
      </c>
      <c r="E14" s="8">
        <f>(D14/C14)^(1/14)-1</f>
        <v/>
      </c>
      <c r="F14" s="2" t="inlineStr">
        <is>
          <t>State aid</t>
        </is>
      </c>
      <c r="G14" s="21">
        <f>('Revenue drivers'!E7/'Revenue drivers'!C7)^(1/13)-1</f>
        <v/>
      </c>
      <c r="H14" s="2" t="inlineStr"/>
    </row>
    <row r="15">
      <c r="A15" s="2" t="inlineStr">
        <is>
          <t>Revenue</t>
        </is>
      </c>
      <c r="B15" s="2" t="inlineStr">
        <is>
          <t>Local receipts (recap, budgeted)</t>
        </is>
      </c>
      <c r="C15" s="7" t="n">
        <v>19718475</v>
      </c>
      <c r="D15" s="7" t="n">
        <v>33050910</v>
      </c>
      <c r="E15" s="8">
        <f>(D15/C15)^(1/14)-1</f>
        <v/>
      </c>
      <c r="F15" s="2" t="inlineStr">
        <is>
          <t>Local receipts (budgeted)</t>
        </is>
      </c>
      <c r="G15" s="21">
        <f>('Revenue drivers'!E8/'Revenue drivers'!C8)^(1/13)-1</f>
        <v/>
      </c>
      <c r="H15" s="2" t="inlineStr"/>
    </row>
    <row r="16">
      <c r="A16" s="2" t="inlineStr">
        <is>
          <t>Revenue</t>
        </is>
      </c>
      <c r="B16" s="2" t="inlineStr">
        <is>
          <t>General Fund surplus (becomes free cash two years later)</t>
        </is>
      </c>
      <c r="C16" s="7" t="n">
        <v>10153141</v>
      </c>
      <c r="D16" s="7" t="n">
        <v>25306322</v>
      </c>
      <c r="E16" s="8">
        <f>(D16/C16)^(1/14)-1</f>
        <v/>
      </c>
      <c r="F16" s="2" t="inlineStr">
        <is>
          <t>Free cash used in the budget</t>
        </is>
      </c>
      <c r="G16" s="21">
        <f>('Revenue drivers'!E9/'Revenue drivers'!C9)^(1/13)-1</f>
        <v/>
      </c>
      <c r="H16" s="2" t="inlineStr">
        <is>
          <t>Surplus, not the free cash appropriated two years later.</t>
        </is>
      </c>
    </row>
    <row r="17">
      <c r="A17" s="2" t="inlineStr">
        <is>
          <t>Benefits</t>
        </is>
      </c>
      <c r="B17" s="2" t="inlineStr">
        <is>
          <t>Group health (reconstructed)</t>
        </is>
      </c>
      <c r="C17" s="7" t="n">
        <v>19390951</v>
      </c>
      <c r="D17" s="7" t="n">
        <v>38268676</v>
      </c>
      <c r="E17" s="8">
        <f>(D17/C17)^(1/14)-1</f>
        <v/>
      </c>
      <c r="F17" s="2" t="inlineStr">
        <is>
          <t>Group health insurance (active and retired)</t>
        </is>
      </c>
      <c r="G17" s="21">
        <f>('Spending drivers'!E9/'Spending drivers'!C9)^(1/13)-1</f>
        <v/>
      </c>
      <c r="H17" s="2" t="inlineStr">
        <is>
          <t>Premium inflation was most of it; staff +316 FTE added the rest.</t>
        </is>
      </c>
    </row>
    <row r="18">
      <c r="A18" s="2" t="inlineStr">
        <is>
          <t>Benefits</t>
        </is>
      </c>
      <c r="B18" s="2" t="inlineStr">
        <is>
          <t>Pension contribution (audited, CY2014 to CY2022)</t>
        </is>
      </c>
      <c r="C18" s="7" t="n">
        <v>18432347</v>
      </c>
      <c r="D18" s="7" t="n">
        <v>31928207</v>
      </c>
      <c r="E18" s="8">
        <f>(D18/C18)^(1/8)-1</f>
        <v/>
      </c>
      <c r="F18" s="2" t="inlineStr"/>
      <c r="G18" s="8" t="n"/>
      <c r="H18" s="2" t="inlineStr">
        <is>
          <t>Growth here was the catch-up on the unfunded liability, which ends at full funding (FY2030); the forecast's FY2032-40 pension is normal cost only, +3.0%/yr.</t>
        </is>
      </c>
    </row>
    <row r="19">
      <c r="A19" s="17" t="inlineStr">
        <is>
          <t>Revenue</t>
        </is>
      </c>
      <c r="B19" s="17" t="inlineStr">
        <is>
          <t>New growth as a share of prior levy limit, FY2011-25 average</t>
        </is>
      </c>
      <c r="E19" s="22" t="n">
        <v>0.01234597675629749</v>
      </c>
      <c r="F19" s="17" t="inlineStr">
        <is>
          <t>New growth (memo)</t>
        </is>
      </c>
      <c r="G19" s="22" t="n">
        <v>0.01235</v>
      </c>
      <c r="H19" s="2" t="inlineStr">
        <is>
          <t>Range 1.06% to 1.43%. The forecast uses the FY2022-26 rate, 1.235%, before Chestnut Hill.</t>
        </is>
      </c>
    </row>
    <row r="22">
      <c r="A22" s="19" t="inlineStr">
        <is>
          <t>Causes of the FY2011-25 rise in General Fund spending (output/expense_drivers_tree_fy11_25.csv)</t>
        </is>
      </c>
    </row>
    <row r="23">
      <c r="A23" s="23" t="inlineStr">
        <is>
          <t>Block</t>
        </is>
      </c>
      <c r="B23" s="23" t="inlineStr">
        <is>
          <t>Cause</t>
        </is>
      </c>
      <c r="C23" s="23" t="inlineStr">
        <is>
          <t>Dollars ($)</t>
        </is>
      </c>
      <c r="D23" s="23" t="inlineStr">
        <is>
          <t>Share of total growth</t>
        </is>
      </c>
      <c r="E23" s="23" t="inlineStr">
        <is>
          <t>Note</t>
        </is>
      </c>
    </row>
    <row r="24">
      <c r="A24" s="2" t="inlineStr">
        <is>
          <t>Town departments</t>
        </is>
      </c>
      <c r="B24" s="2" t="inlineStr">
        <is>
          <t>Wage &amp; price inflation</t>
        </is>
      </c>
      <c r="C24" s="7" t="n">
        <v>26209238</v>
      </c>
      <c r="D24" s="24" t="n">
        <v>0.1477</v>
      </c>
      <c r="E24" s="2" t="inlineStr">
        <is>
          <t>personnel at national state/local ECI, non-personnel at Boston CPI</t>
        </is>
      </c>
    </row>
    <row r="25">
      <c r="A25" s="2" t="inlineStr">
        <is>
          <t>Town departments</t>
        </is>
      </c>
      <c r="B25" s="2" t="inlineStr">
        <is>
          <t>Staff to serve new homes &amp; commercial space</t>
        </is>
      </c>
      <c r="C25" s="7" t="n">
        <v>1696462</v>
      </c>
      <c r="D25" s="24" t="n">
        <v>0.009599999999999999</v>
      </c>
      <c r="E25" s="2" t="inlineStr">
        <is>
          <t>1,251 homes x $1,371 + 1,745 commercial employees x $219 (RKG), department share 81%; benefits counted under Benefits</t>
        </is>
      </c>
    </row>
    <row r="26">
      <c r="A26" s="2" t="inlineStr">
        <is>
          <t>Town departments</t>
        </is>
      </c>
      <c r="B26" s="2" t="inlineStr">
        <is>
          <t>Other staffing change</t>
        </is>
      </c>
      <c r="C26" s="7" t="n">
        <v>2669520</v>
      </c>
      <c r="D26" s="24" t="n">
        <v>0.015</v>
      </c>
      <c r="E26" s="2" t="inlineStr">
        <is>
          <t>town FTE +48.9 in total; +18.5 of it at the unvalidated FY2020/21 seam</t>
        </is>
      </c>
    </row>
    <row r="27">
      <c r="A27" s="2" t="inlineStr">
        <is>
          <t>Town departments</t>
        </is>
      </c>
      <c r="B27" s="2" t="inlineStr">
        <is>
          <t>Cost per head above/below inflation</t>
        </is>
      </c>
      <c r="C27" s="7" t="n">
        <v>-3185257</v>
      </c>
      <c r="D27" s="24" t="n">
        <v>-0.018</v>
      </c>
      <c r="E27" s="2" t="inlineStr">
        <is>
          <t>residual: step/grade, turnover, role mix, local pay vs national</t>
        </is>
      </c>
    </row>
    <row r="28">
      <c r="A28" s="2" t="inlineStr">
        <is>
          <t>Schools</t>
        </is>
      </c>
      <c r="B28" s="2" t="inlineStr">
        <is>
          <t>Wage &amp; price inflation</t>
        </is>
      </c>
      <c r="C28" s="7" t="n">
        <v>35666129</v>
      </c>
      <c r="D28" s="24" t="n">
        <v>0.201</v>
      </c>
      <c r="E28" s="2" t="inlineStr">
        <is>
          <t>personnel (81%, derived) at the ECI, non-personnel at Boston CPI</t>
        </is>
      </c>
    </row>
    <row r="29">
      <c r="A29" s="2" t="inlineStr">
        <is>
          <t>Schools</t>
        </is>
      </c>
      <c r="B29" s="2" t="inlineStr">
        <is>
          <t>Staff for students from new homes</t>
        </is>
      </c>
      <c r="C29" s="7" t="n">
        <v>4247515</v>
      </c>
      <c r="D29" s="24" t="n">
        <v>0.0239</v>
      </c>
      <c r="E29" s="2" t="inlineStr">
        <is>
          <t>305 students at 0.2442/home, at the FY2011 staff ratio</t>
        </is>
      </c>
    </row>
    <row r="30">
      <c r="A30" s="2" t="inlineStr">
        <is>
          <t>Schools</t>
        </is>
      </c>
      <c r="B30" s="2" t="inlineStr">
        <is>
          <t>Staff for other enrollment change</t>
        </is>
      </c>
      <c r="C30" s="7" t="n">
        <v>1258370</v>
      </c>
      <c r="D30" s="24" t="n">
        <v>0.0071</v>
      </c>
      <c r="E30" s="2" t="inlineStr">
        <is>
          <t>net enrollment 6,627 -&gt; 7,023; peaked at 7,855 in FY2019</t>
        </is>
      </c>
    </row>
    <row r="31">
      <c r="A31" s="2" t="inlineStr">
        <is>
          <t>Schools</t>
        </is>
      </c>
      <c r="B31" s="2" t="inlineStr">
        <is>
          <t>Lower students-per-staff ratio</t>
        </is>
      </c>
      <c r="C31" s="7" t="n">
        <v>19548206</v>
      </c>
      <c r="D31" s="24" t="n">
        <v>0.1102</v>
      </c>
      <c r="E31" s="2" t="inlineStr">
        <is>
          <t>students per staff FTE 6.75 -&gt; 5.62</t>
        </is>
      </c>
    </row>
    <row r="32">
      <c r="A32" s="2" t="inlineStr">
        <is>
          <t>Schools</t>
        </is>
      </c>
      <c r="B32" s="2" t="inlineStr">
        <is>
          <t>Cost per staff above/below inflation</t>
        </is>
      </c>
      <c r="C32" s="7" t="n">
        <v>8290276</v>
      </c>
      <c r="D32" s="24" t="n">
        <v>0.0467</v>
      </c>
      <c r="E32" s="2" t="inlineStr">
        <is>
          <t>residual</t>
        </is>
      </c>
    </row>
    <row r="33">
      <c r="A33" s="2" t="inlineStr">
        <is>
          <t>Benefits</t>
        </is>
      </c>
      <c r="B33" s="2" t="inlineStr">
        <is>
          <t>Health: premium inflation</t>
        </is>
      </c>
      <c r="C33" s="7" t="n">
        <v>12073603</v>
      </c>
      <c r="D33" s="24" t="n">
        <v>0.068</v>
      </c>
      <c r="E33" s="2" t="inlineStr">
        <is>
          <t>national state/local ECI benefits index</t>
        </is>
      </c>
    </row>
    <row r="34">
      <c r="A34" s="2" t="inlineStr">
        <is>
          <t>Benefits</t>
        </is>
      </c>
      <c r="B34" s="2" t="inlineStr">
        <is>
          <t>Health: more covered staff</t>
        </is>
      </c>
      <c r="C34" s="7" t="n">
        <v>1242202</v>
      </c>
      <c r="D34" s="24" t="n">
        <v>0.007</v>
      </c>
      <c r="E34" s="2" t="inlineStr">
        <is>
          <t>20% of the +316 town+school FTE change</t>
        </is>
      </c>
    </row>
    <row r="35">
      <c r="A35" s="2" t="inlineStr">
        <is>
          <t>Benefits</t>
        </is>
      </c>
      <c r="B35" s="2" t="inlineStr">
        <is>
          <t>Health: more covered staff</t>
        </is>
      </c>
      <c r="C35" s="7" t="n">
        <v>259238</v>
      </c>
      <c r="D35" s="24" t="n">
        <v>0.0015</v>
      </c>
      <c r="E35" s="2" t="inlineStr">
        <is>
          <t>4% of the +316 town+school FTE change</t>
        </is>
      </c>
    </row>
    <row r="36">
      <c r="A36" s="2" t="inlineStr">
        <is>
          <t>Benefits</t>
        </is>
      </c>
      <c r="B36" s="2" t="inlineStr">
        <is>
          <t>Health: more covered staff</t>
        </is>
      </c>
      <c r="C36" s="7" t="n">
        <v>4604909</v>
      </c>
      <c r="D36" s="24" t="n">
        <v>0.026</v>
      </c>
      <c r="E36" s="2" t="inlineStr">
        <is>
          <t>75% of the +316 town+school FTE change</t>
        </is>
      </c>
    </row>
    <row r="37">
      <c r="A37" s="2" t="inlineStr">
        <is>
          <t>Benefits</t>
        </is>
      </c>
      <c r="B37" s="2" t="inlineStr">
        <is>
          <t>Health: premiums above inflation</t>
        </is>
      </c>
      <c r="C37" s="7" t="n">
        <v>182065</v>
      </c>
      <c r="D37" s="24" t="n">
        <v>0.001</v>
      </c>
      <c r="E37" s="2" t="inlineStr">
        <is>
          <t>residual; includes retirees on the plan, who do not scale with active staff</t>
        </is>
      </c>
    </row>
    <row r="38">
      <c r="A38" s="2" t="inlineStr">
        <is>
          <t>Benefits</t>
        </is>
      </c>
      <c r="B38" s="2" t="inlineStr">
        <is>
          <t>Pensions being earned now: pay inflation</t>
        </is>
      </c>
      <c r="C38" s="7" t="n">
        <v>1339848</v>
      </c>
      <c r="D38" s="24" t="n">
        <v>0.0076</v>
      </c>
      <c r="E38" s="2" t="inlineStr">
        <is>
          <t>FY2011 normal cost $3,352,208, carried back from the 1/1/2014 valuation's FY2013 figure; grown at the ECI for wages</t>
        </is>
      </c>
    </row>
    <row r="39">
      <c r="A39" s="2" t="inlineStr">
        <is>
          <t>Benefits</t>
        </is>
      </c>
      <c r="B39" s="2" t="inlineStr">
        <is>
          <t>Pensions being earned now: more town staff</t>
        </is>
      </c>
      <c r="C39" s="7" t="n">
        <v>132537</v>
      </c>
      <c r="D39" s="24" t="n">
        <v>0.0007</v>
      </c>
      <c r="E39" s="2" t="inlineStr">
        <is>
          <t>town FTE growth share</t>
        </is>
      </c>
    </row>
    <row r="40">
      <c r="A40" s="2" t="inlineStr">
        <is>
          <t>Benefits</t>
        </is>
      </c>
      <c r="B40" s="2" t="inlineStr">
        <is>
          <t>Pensions being earned now: more town staff</t>
        </is>
      </c>
      <c r="C40" s="7" t="n">
        <v>208558</v>
      </c>
      <c r="D40" s="24" t="n">
        <v>0.0012</v>
      </c>
      <c r="E40" s="2" t="inlineStr">
        <is>
          <t>town FTE other share</t>
        </is>
      </c>
    </row>
    <row r="41">
      <c r="A41" s="2" t="inlineStr">
        <is>
          <t>Benefits</t>
        </is>
      </c>
      <c r="B41" s="2" t="inlineStr">
        <is>
          <t>Pensions being earned now: higher cost per dollar of pay</t>
        </is>
      </c>
      <c r="C41" s="7" t="n">
        <v>2274633</v>
      </c>
      <c r="D41" s="24" t="n">
        <v>0.0128</v>
      </c>
      <c r="E41" s="2" t="inlineStr">
        <is>
          <t>employer normal cost 5.48% of payroll (FY2013) -&gt; 7.71% (FY2025), actuarial assumption changes</t>
        </is>
      </c>
    </row>
    <row r="42">
      <c r="A42" s="2" t="inlineStr">
        <is>
          <t>Benefits</t>
        </is>
      </c>
      <c r="B42" s="2" t="inlineStr">
        <is>
          <t>Pensions: paying down the unfunded liability</t>
        </is>
      </c>
      <c r="C42" s="7" t="n">
        <v>19586527</v>
      </c>
      <c r="D42" s="24" t="n">
        <v>0.1104</v>
      </c>
      <c r="E42" s="2" t="inlineStr">
        <is>
          <t>amortization $10.6M -&gt; $30.2M; ends at full funding, FY2030</t>
        </is>
      </c>
    </row>
    <row r="43">
      <c r="A43" s="2" t="inlineStr">
        <is>
          <t>Benefits</t>
        </is>
      </c>
      <c r="B43" s="2" t="inlineStr">
        <is>
          <t>OPEB trust contributions</t>
        </is>
      </c>
      <c r="C43" s="7" t="n">
        <v>3403449</v>
      </c>
      <c r="D43" s="24" t="n">
        <v>0.0192</v>
      </c>
      <c r="E43" s="2" t="inlineStr">
        <is>
          <t>funding-policy transfers into the retiree health trust</t>
        </is>
      </c>
    </row>
    <row r="44">
      <c r="A44" s="2" t="inlineStr">
        <is>
          <t>Benefits</t>
        </is>
      </c>
      <c r="B44" s="2" t="inlineStr">
        <is>
          <t>Other benefits (Medicare tax, workers' comp, IOD, etc.)</t>
        </is>
      </c>
      <c r="C44" s="7" t="n">
        <v>2534593</v>
      </c>
      <c r="D44" s="24" t="n">
        <v>0.0143</v>
      </c>
      <c r="E44" s="2" t="inlineStr"/>
    </row>
    <row r="45">
      <c r="A45" s="2" t="inlineStr">
        <is>
          <t>Benefits</t>
        </is>
      </c>
      <c r="B45" s="2" t="inlineStr">
        <is>
          <t>Other fixed costs &amp; Schedule A reconciling difference</t>
        </is>
      </c>
      <c r="C45" s="7" t="n">
        <v>4006246</v>
      </c>
      <c r="D45" s="24" t="n">
        <v>0.0226</v>
      </c>
      <c r="E45" s="2" t="inlineStr">
        <is>
          <t>Schedule A fixed costs minus the Town's benefits detail</t>
        </is>
      </c>
    </row>
    <row r="46">
      <c r="A46" s="2" t="inlineStr">
        <is>
          <t>Debt service</t>
        </is>
      </c>
      <c r="B46" s="2" t="inlineStr">
        <is>
          <t>Voter-approved excluded debt</t>
        </is>
      </c>
      <c r="C46" s="7" t="n">
        <v>20753548</v>
      </c>
      <c r="D46" s="24" t="n">
        <v>0.117</v>
      </c>
      <c r="E46" s="2" t="inlineStr">
        <is>
          <t>Devotion, BHS, Driscoll, Pierce, Newbury, fire stations</t>
        </is>
      </c>
    </row>
    <row r="47">
      <c r="A47" s="2" t="inlineStr">
        <is>
          <t>Debt service</t>
        </is>
      </c>
      <c r="B47" s="2" t="inlineStr">
        <is>
          <t>Routine within-levy borrowing</t>
        </is>
      </c>
      <c r="C47" s="7" t="n">
        <v>6041841</v>
      </c>
      <c r="D47" s="24" t="n">
        <v>0.0341</v>
      </c>
      <c r="E47" s="2" t="inlineStr"/>
    </row>
    <row r="48">
      <c r="A48" s="2" t="inlineStr">
        <is>
          <t>State &amp; MBTA assessments</t>
        </is>
      </c>
      <c r="B48" s="2" t="inlineStr">
        <is>
          <t>State, county and MBTA assessments</t>
        </is>
      </c>
      <c r="C48" s="7" t="n">
        <v>2383693</v>
      </c>
      <c r="D48" s="24" t="n">
        <v>0.0134</v>
      </c>
      <c r="E48" s="2" t="inlineStr">
        <is>
          <t>outside local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2026-10-14T09:46:14Z</dcterms:created>
  <dcterms:modified xmlns:dcterms="http://purl.org/dc/terms/" xmlns:xsi="http://www.w3.org/2001/XMLSchema-instance" xsi:type="dcterms:W3CDTF">2026-10-14T09:46:14Z</dcterms:modified>
</cp:coreProperties>
</file>